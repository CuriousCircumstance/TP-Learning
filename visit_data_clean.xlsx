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6506592608dbe737/Documents/Employment/Museum/"/>
    </mc:Choice>
  </mc:AlternateContent>
  <xr:revisionPtr revIDLastSave="1671" documentId="8_{AFE4A7A8-8A47-44BA-BFBA-6E51C59F6FAE}" xr6:coauthVersionLast="47" xr6:coauthVersionMax="47" xr10:uidLastSave="{4F3E1AA7-7E16-4F2D-93E3-171DA00995B8}"/>
  <bookViews>
    <workbookView xWindow="-108" yWindow="-108" windowWidth="23256" windowHeight="12456" activeTab="4" xr2:uid="{EA4F8BE3-DFF2-438F-9F74-203D079FE991}"/>
  </bookViews>
  <sheets>
    <sheet name="Combined" sheetId="4" r:id="rId1"/>
    <sheet name="Map B" sheetId="3" r:id="rId2"/>
    <sheet name="Map A - og" sheetId="2" r:id="rId3"/>
    <sheet name="DM Input" sheetId="1" r:id="rId4"/>
    <sheet name="Sheet1" sheetId="5" r:id="rId5"/>
  </sheets>
  <definedNames>
    <definedName name="_xlnm._FilterDatabase" localSheetId="4" hidden="1">Sheet1!$M$2:$O$29</definedName>
    <definedName name="ExternalData_1" localSheetId="2" hidden="1">'Map A - og'!$A$1:$O$111</definedName>
    <definedName name="ExternalData_2" localSheetId="1" hidden="1">'Map B'!$A$1:$M$116</definedName>
    <definedName name="ExternalData_3" localSheetId="0" hidden="1">'Combined'!$A$1:$M$226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5" l="1"/>
  <c r="O5" i="5"/>
  <c r="O6" i="5"/>
  <c r="O7" i="5"/>
  <c r="O8" i="5"/>
  <c r="O9" i="5"/>
  <c r="O10" i="5"/>
  <c r="O11" i="5"/>
  <c r="O12" i="5"/>
  <c r="O13" i="5"/>
  <c r="O14" i="5"/>
  <c r="O15" i="5"/>
  <c r="O16" i="5"/>
  <c r="O17" i="5"/>
  <c r="O18" i="5"/>
  <c r="O19" i="5"/>
  <c r="O20" i="5"/>
  <c r="O21" i="5"/>
  <c r="O22" i="5"/>
  <c r="O23" i="5"/>
  <c r="O24" i="5"/>
  <c r="O25" i="5"/>
  <c r="O26" i="5"/>
  <c r="O27" i="5"/>
  <c r="O28" i="5"/>
  <c r="O29" i="5"/>
  <c r="O3" i="5"/>
  <c r="N27" i="5"/>
  <c r="N21" i="5"/>
  <c r="N20" i="5"/>
  <c r="N8" i="5"/>
  <c r="N4" i="5"/>
  <c r="N17" i="5"/>
  <c r="N16" i="5"/>
  <c r="N9" i="5"/>
  <c r="N22" i="5"/>
  <c r="N13" i="5"/>
  <c r="N6" i="5"/>
  <c r="N28" i="5"/>
  <c r="N18" i="5"/>
  <c r="N19" i="5"/>
  <c r="N12" i="5"/>
  <c r="N5" i="5"/>
  <c r="N7" i="5"/>
  <c r="N23" i="5"/>
  <c r="N3" i="5"/>
  <c r="N29" i="5"/>
  <c r="N11" i="5"/>
  <c r="N24" i="5"/>
  <c r="N14" i="5"/>
  <c r="N15" i="5"/>
  <c r="N10" i="5"/>
  <c r="N25" i="5"/>
  <c r="N26" i="5"/>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O216" i="1"/>
  <c r="L206"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L40" i="1"/>
  <c r="L35" i="1"/>
  <c r="L32"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L26" i="1"/>
  <c r="L27" i="1"/>
  <c r="L28" i="1"/>
  <c r="L29" i="1"/>
  <c r="L30" i="1"/>
  <c r="L31" i="1"/>
  <c r="L33" i="1"/>
  <c r="L34" i="1"/>
  <c r="L36" i="1"/>
  <c r="L37" i="1"/>
  <c r="L38" i="1"/>
  <c r="L39"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 i="1"/>
  <c r="O25" i="1"/>
  <c r="U25" i="1"/>
  <c r="L24" i="1"/>
  <c r="O24" i="1"/>
  <c r="U24" i="1"/>
  <c r="L23" i="1"/>
  <c r="O23" i="1"/>
  <c r="U23" i="1"/>
  <c r="L22" i="1"/>
  <c r="O22" i="1"/>
  <c r="U22" i="1"/>
  <c r="L21" i="1"/>
  <c r="O21" i="1"/>
  <c r="U21" i="1"/>
  <c r="L20" i="1"/>
  <c r="O20" i="1"/>
  <c r="U20" i="1"/>
  <c r="L19" i="1"/>
  <c r="O19" i="1"/>
  <c r="U19" i="1"/>
  <c r="L18" i="1"/>
  <c r="O18" i="1"/>
  <c r="U18" i="1"/>
  <c r="L17" i="1"/>
  <c r="O17" i="1"/>
  <c r="U17" i="1"/>
  <c r="L16" i="1"/>
  <c r="O16" i="1"/>
  <c r="U16" i="1"/>
  <c r="L15" i="1"/>
  <c r="O15" i="1"/>
  <c r="U15" i="1"/>
  <c r="L14" i="1"/>
  <c r="O14" i="1"/>
  <c r="U14" i="1"/>
  <c r="L13" i="1"/>
  <c r="O13" i="1"/>
  <c r="U13" i="1"/>
  <c r="O2" i="1"/>
  <c r="O3" i="1"/>
  <c r="O4" i="1"/>
  <c r="O5" i="1"/>
  <c r="O6" i="1"/>
  <c r="O7" i="1"/>
  <c r="O8" i="1"/>
  <c r="O9" i="1"/>
  <c r="O10" i="1"/>
  <c r="O11" i="1"/>
  <c r="O12" i="1"/>
  <c r="L2" i="1"/>
  <c r="L3" i="1"/>
  <c r="L4" i="1"/>
  <c r="L5" i="1"/>
  <c r="L6" i="1"/>
  <c r="L7" i="1"/>
  <c r="L8" i="1"/>
  <c r="L9" i="1"/>
  <c r="L10" i="1"/>
  <c r="L11" i="1"/>
  <c r="L12" i="1"/>
  <c r="U12" i="1"/>
  <c r="U11" i="1"/>
  <c r="U10" i="1"/>
  <c r="U9" i="1"/>
  <c r="U8" i="1"/>
  <c r="U7" i="1"/>
  <c r="U6" i="1"/>
  <c r="Y31" i="1"/>
  <c r="Y32" i="1"/>
  <c r="Y33" i="1"/>
  <c r="Y34" i="1"/>
  <c r="Y35" i="1"/>
  <c r="Y36" i="1"/>
  <c r="Y37" i="1"/>
  <c r="Y38" i="1"/>
  <c r="Y2" i="1"/>
  <c r="Y3" i="1"/>
  <c r="Y4" i="1"/>
  <c r="Y5" i="1"/>
  <c r="Y6" i="1"/>
  <c r="Y7" i="1"/>
  <c r="Y8" i="1"/>
  <c r="Y9" i="1"/>
  <c r="Y10" i="1"/>
  <c r="Y11" i="1"/>
  <c r="Y12" i="1"/>
  <c r="Y13" i="1"/>
  <c r="Y14" i="1"/>
  <c r="Y15" i="1"/>
  <c r="Y16" i="1"/>
  <c r="Y17" i="1"/>
  <c r="Y18" i="1"/>
  <c r="Y19" i="1"/>
  <c r="Y20" i="1"/>
  <c r="Y21" i="1"/>
  <c r="Y22" i="1"/>
  <c r="Y23" i="1"/>
  <c r="Y24" i="1"/>
  <c r="Y25" i="1"/>
  <c r="Y26" i="1"/>
  <c r="Y27" i="1"/>
  <c r="U5" i="1"/>
  <c r="U4" i="1"/>
  <c r="U2" i="1"/>
  <c r="U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F2BB37-C1EB-4C30-A328-988F8CFA6CD1}" keepAlive="1" name="Query - Combined" description="Connection to the 'Combined' query in the workbook." type="5" refreshedVersion="8" background="1" saveData="1">
    <dbPr connection="Provider=Microsoft.Mashup.OleDb.1;Data Source=$Workbook$;Location=Combined;Extended Properties=&quot;&quot;" command="SELECT * FROM [Combined]"/>
  </connection>
  <connection id="2" xr16:uid="{981974E1-5C94-48C4-8F03-162289FBAC1B}" keepAlive="1" name="Query - Map A - og" description="Connection to the 'Map A - og' query in the workbook." type="5" refreshedVersion="8" background="1" saveData="1">
    <dbPr connection="Provider=Microsoft.Mashup.OleDb.1;Data Source=$Workbook$;Location=&quot;Map A - og&quot;;Extended Properties=&quot;&quot;" command="SELECT * FROM [Map A - og]"/>
  </connection>
  <connection id="3" xr16:uid="{136D4A66-DA6A-4AB9-A88B-EC67EBDAD607}" keepAlive="1" name="Query - Map B" description="Connection to the 'Map B' query in the workbook." type="5" refreshedVersion="8" background="1" saveData="1">
    <dbPr connection="Provider=Microsoft.Mashup.OleDb.1;Data Source=$Workbook$;Location=&quot;Map B&quot;;Extended Properties=&quot;&quot;" command="SELECT * FROM [Map B]"/>
  </connection>
</connections>
</file>

<file path=xl/sharedStrings.xml><?xml version="1.0" encoding="utf-8"?>
<sst xmlns="http://schemas.openxmlformats.org/spreadsheetml/2006/main" count="6734" uniqueCount="923">
  <si>
    <t>Date</t>
  </si>
  <si>
    <t>Time In</t>
  </si>
  <si>
    <t>Time Out</t>
  </si>
  <si>
    <t>Observer Initials</t>
  </si>
  <si>
    <t>Map Zone (A/B)</t>
  </si>
  <si>
    <t>Direction</t>
  </si>
  <si>
    <t>Visitor Type (Individual/Pair/Group/School)</t>
  </si>
  <si>
    <t>Gender/Age (if noted)</t>
  </si>
  <si>
    <t>With/Without Children</t>
  </si>
  <si>
    <t>Route Pattern (Door A/B/Through-route)</t>
  </si>
  <si>
    <t>Stops/Engagement Points</t>
  </si>
  <si>
    <t>Dwell Time (secs/mins)</t>
  </si>
  <si>
    <t>Behavioural Observations/notes/comments</t>
  </si>
  <si>
    <t>Visitor Comments</t>
  </si>
  <si>
    <t>Observer Notes</t>
  </si>
  <si>
    <t>CM</t>
  </si>
  <si>
    <t>A</t>
  </si>
  <si>
    <t>Door A to side B</t>
  </si>
  <si>
    <t>Individual</t>
  </si>
  <si>
    <t>Male/20s</t>
  </si>
  <si>
    <t>With children</t>
  </si>
  <si>
    <t>Door A, wooden cooking instruments, shrine of st.patrick, exit to side B</t>
  </si>
  <si>
    <t>2 stops: wooden cooking instruments for 60 seconds, shrine of st patricks hand for 60 seconds</t>
  </si>
  <si>
    <t>None recorded</t>
  </si>
  <si>
    <t>Group</t>
  </si>
  <si>
    <t>Door A, straight through to Gallery B</t>
  </si>
  <si>
    <t>No stops</t>
  </si>
  <si>
    <t>No engagement, walked straight through gallery without stopping, looking</t>
  </si>
  <si>
    <t>GJ</t>
  </si>
  <si>
    <t>Pair</t>
  </si>
  <si>
    <t>Male and Female, 20s</t>
  </si>
  <si>
    <t>Without children</t>
  </si>
  <si>
    <t>Door A, stopped briefly at Viking cases then straight through to Gallery B</t>
  </si>
  <si>
    <t>1 stop: 10 seconds at Vikings cases</t>
  </si>
  <si>
    <t>Young couple, again very little engagement, passed through gallery quickly</t>
  </si>
  <si>
    <t>Gallery B to Door A</t>
  </si>
  <si>
    <t>Male, early 20s</t>
  </si>
  <si>
    <t>Entered from Gallery B side, walked straight through gallery A and out Door A</t>
  </si>
  <si>
    <t>2 Young men like students passed through only briefly, appeared to be passing through.  Didn’t look in any of the cases. Entered from Gallery B side</t>
  </si>
  <si>
    <t>No engagement, walked straight through gallery without stopping</t>
  </si>
  <si>
    <t>Female, 30s</t>
  </si>
  <si>
    <t>2 women around 30.  Did not stop to look at anything apart from briefly as they left.  Entered from Gallery B side and exited through door A.  Appeared like tourists</t>
  </si>
  <si>
    <t>No engagement</t>
  </si>
  <si>
    <t>Male and Female, 60s</t>
  </si>
  <si>
    <t>Entered from Gallery B side, stopped at Viking cases, subsistence cases, rotary stones, walked to the interactive cloak then left through door A</t>
  </si>
  <si>
    <t>5 stops: Viking case 4 for 240 seconds, Viking cases 1, 2 and 3 for 180 seconds, stopped at the rotary stones for  120 seconds, cloak interactive for 60 seconds</t>
  </si>
  <si>
    <t>Read information, took a photo of the Viking display, interested in maps, split up with each going a different way.  Doubled back to discuss.  Tourists</t>
  </si>
  <si>
    <t>Male, 50s</t>
  </si>
  <si>
    <t>Door A, slowly walked past the arts and crafts cases and entered gallery B side.</t>
  </si>
  <si>
    <t>Not engaged with side A</t>
  </si>
  <si>
    <t>Male, 40s</t>
  </si>
  <si>
    <t>Entered through Door A, stopped at the Clonmore Shrine, walked along the arts and crafts cases, stopped at the shrine of st patricks hand and entered gallery B side.</t>
  </si>
  <si>
    <t>6 stops - 60 seconds spent at the Clonmore shrine, 10 seconds spent looking at each of the three arts and crafts cases, stopped briefly at the cloak interactive but didn’t interact, 60 seconds spent looking at the bells, staffs and altar stone. 60 seconds spent at the shrine of st patricks hand - looking at artefact and reading the information.</t>
  </si>
  <si>
    <t>Man in late 30s / early 40s</t>
  </si>
  <si>
    <t>Male, 60-70</t>
  </si>
  <si>
    <t>Entered through door A, stopped at the Clonmore shrine, walked along the wall displaying the rotary stones - read the information board, read the information in the two subsistence cases, visited the Kingshio &amp; social case and walked along past the arts and crafts cases, stopped at the bells case, stopped at the altar stone and stopped at the staffs case, walked over to the Vikings case 4, read information, visited vikings cases 1, 2 and three and read Vikings information - entered gallery B.</t>
  </si>
  <si>
    <t>10 stops - 60 seconds spent at the Clonmore shrine, 120 seconds spent at the rotary stones, spent 60 seconds reading the notices and labels in subsistence cases, viewed the Kingship &amp; social case, walked past the arts and crafts cases, walked past the cloak interactive. stopped at the bells case, altar stone and staffs, read 2 text panels about vikings and looked at all the 4 Vikings cases, entered gallery B</t>
  </si>
  <si>
    <t>Man in his 60s/70s took time to read information.  Appeared interested in displays.</t>
  </si>
  <si>
    <t>two young girls</t>
  </si>
  <si>
    <t>Entered through Door A, walked to the interactive cloak and spent 30 seconds, walked across to Gallery B</t>
  </si>
  <si>
    <t>1 STOP - 30 seconds at the interactive cloak</t>
  </si>
  <si>
    <t>2 young girls, walked through quickly.  Slight interest in interactive cloak, stopped briefly for 30 seconds</t>
  </si>
  <si>
    <t>two grandparents</t>
  </si>
  <si>
    <t>Entered through Door A, Straight past the arts and crafts cases and entered Gallery B</t>
  </si>
  <si>
    <t>2 grandparents with a young child.  Child more interested in yellow tape on floor, walked quickly through to keep the child moving.  Didn’t stop</t>
  </si>
  <si>
    <t>Entered through Door A, Kingship and social panel of information, went to Vikings case 4 and entered Gallery B</t>
  </si>
  <si>
    <t>3 stops, kingship and social panel of information, vikings case 4</t>
  </si>
  <si>
    <t>Female, group of school children ages 6-14</t>
  </si>
  <si>
    <t>Entered through Door A, walked to the Shrine of St Patricks hand and entered Gallery B</t>
  </si>
  <si>
    <t>1 STOP - 120 seconds spent at the Shrine of St Patricks hand</t>
  </si>
  <si>
    <t>Female, age 20s</t>
  </si>
  <si>
    <t>No children</t>
  </si>
  <si>
    <t>Entered through Gallery B, Spent time looking at the shrine of st patricks hand, stopped at the arts and crafts cases and stopped at the wall of rotary stones.  Exited through door A</t>
  </si>
  <si>
    <t>3 stops - 60 seconds spent at the shrine of st patricks hand, 60 seconds spent looking at the arts and craft cases and 30 seconds spent at the wall with the rotary stones</t>
  </si>
  <si>
    <t>Group of 4 schoolboys approx age 14</t>
  </si>
  <si>
    <t>Entered through Gallery B, Walked past objects and left through door A</t>
  </si>
  <si>
    <t>Group of 4 schoolgirls approx age 14</t>
  </si>
  <si>
    <t>Didn’t stop to look at anything</t>
  </si>
  <si>
    <t>Young boy and girl both in school uniforms, approx age 14</t>
  </si>
  <si>
    <t>Schoolgirl approx age 14</t>
  </si>
  <si>
    <t>Group of 3 - two school boys and one schoolgirl approx age 14</t>
  </si>
  <si>
    <t>Group of 3 - two school boys and one schoolgirl approx age 15</t>
  </si>
  <si>
    <t>Male, 30s</t>
  </si>
  <si>
    <t>Entered from Gallery B, walked past vikings cases, past subsistence cases, stopped at the wall with rotary stones, went to the arts and craft cases then exited through door A</t>
  </si>
  <si>
    <t>2 stops - 60 seconds spent at the rotary stones and 60 seconds spent at the arts and craft cases</t>
  </si>
  <si>
    <t>Group of 3 - 1 schoolboy and 2 schoolgirls approx age 14</t>
  </si>
  <si>
    <t>Entered from gallery B, STOPPED AT THE STAFFS CASES, WALKED PAST OTHER OBJECTS AND LEFT THROUGH Door A</t>
  </si>
  <si>
    <t>1 Stop - 60 seconds spent at the staffs case</t>
  </si>
  <si>
    <t>2 schoolgirls approx age 13</t>
  </si>
  <si>
    <t>entered through door A, Stopped at the right subsistence case and entered gallery B</t>
  </si>
  <si>
    <t>Man and woman - both in 60s</t>
  </si>
  <si>
    <t>Entered from Gallery B, Viewed the vikings cases, the male spent time at the altar stone and the female viewed the bells case.  They both stopped at the kingship and social information wall, stopped at the arts and crafts cases then left by Door A</t>
  </si>
  <si>
    <t>4 STOPS - 30 SECONDS SPENT AT VIKINGS CASES, 120 SECONDS SPENT AT THE ALTAR STONE AND BELLS, 120 SECONDS READING THE KINGSHIP AND SOCIAL INFORMATION, 60 SECONDS SPENT AT THE ARTS AND CRAFTS CASES.</t>
  </si>
  <si>
    <t>Man and woman - both in 30s</t>
  </si>
  <si>
    <t>entered from gallery B, stopped at the vikings cases, walked to the arts and crafts cases and stopped to view objects, spent time looking at the Murlough hoard and left through door a</t>
  </si>
  <si>
    <t>female, 60s</t>
  </si>
  <si>
    <t>entered from gallery B, walked straight through gallery and exited by door A</t>
  </si>
  <si>
    <t>Stopped to ask volunteer where the Egyptian mummy is</t>
  </si>
  <si>
    <t>Woman in her 60s - wanted to know where the Egyptian mummy is - just passing through gallery</t>
  </si>
  <si>
    <t>2 Females - one age 50s and one early 20s</t>
  </si>
  <si>
    <t>Entered from gallery B, went to the bells case, arts and crafts cases, rotary stones, clonmore shrine and left through door A</t>
  </si>
  <si>
    <t>4 STOPS - 60 SECONDS SPENT LOOKING AT THE BELLS, 30 SECONDS SPENT AT THE ARTS AND CRAFTS CASES, 60 seconds spent at the rotary stones and finally 60 seconds spent at the Clonmore shrine</t>
  </si>
  <si>
    <t>19/11`/25</t>
  </si>
  <si>
    <t>Entered through door A, stopped at the end of the arts and crafts cases, walked to vikings text 1, looked at vikings cases 1, 2 and 3, looked at the Ballyclog bell, walked to the altar stone, read information on the european churches and left through gallery B</t>
  </si>
  <si>
    <t>6 STOPS - 60 seconds at the first arts and craft case, 120 seconds reading the vikings text, 120 minutes looking at the vikings cases 1, 2 and 3, 30 seconds spent at Ballyclog bell, 60 seconds spent looking at the altar stone, 30 seconds reading information on the european church</t>
  </si>
  <si>
    <t>Entered through gallery B, stopped at the Vikings cases, took photos of each case, read vikings text and left through door A</t>
  </si>
  <si>
    <t>2 STOPS - 180 seconds spent at the 3 vikings cases, engaged and spent time taking photos of objects in vikings cases, 60 seconds spent reading vikings text</t>
  </si>
  <si>
    <t>Four schoolgirls</t>
  </si>
  <si>
    <t>Entereed through door A, stopped at the cloak interactive and left through gallery B</t>
  </si>
  <si>
    <t>1 STOP - 120 seconds spent at the cloak interactive</t>
  </si>
  <si>
    <t>3 schoolboys approx age 14</t>
  </si>
  <si>
    <t>Entered through door A, walked to the vikings cases and left through gallery B</t>
  </si>
  <si>
    <t>1 STOP - 60 seconds spent at the Vikings cases</t>
  </si>
  <si>
    <t>Female, 40s</t>
  </si>
  <si>
    <t>Entered through Door A, stopped at the Kingship and Social case, spent 60 seconds walked into Gallery side B then back into Gallery side A.  Went to the arts and crafts cases - spent 60 seconds there, then left by Door A</t>
  </si>
  <si>
    <t>KC</t>
  </si>
  <si>
    <t>2 ladies with babies in prams.</t>
  </si>
  <si>
    <t>Entered through Door A, walked straight through into Gallery B</t>
  </si>
  <si>
    <t>Just walking through slowly chatting.  Not really engaging with exhibits</t>
  </si>
  <si>
    <t>Entered from Gallery side B, stopped at the staffs case, the altar stone and the bells case - spending 60 seconds at each.  240 seconds spent at the triple arts and crafts case.  Walked round to the Clonmore shrine and spent 60 seconds at that case, spent 60 seconds looking at the Murlough Hoard then exited through Door A.</t>
  </si>
  <si>
    <t>This lady stopped to talk to the Observation volunteer.  She said that she is a local and comes regularly to visit this gallery.  She also loves the gallery next door (Early Peoples) which she feels is overlooked and is on a par with English National Galleries.</t>
  </si>
  <si>
    <t>Entered from Gallery B side, walked straight through gallery and exited through Door A</t>
  </si>
  <si>
    <t>No stops, no engagement</t>
  </si>
  <si>
    <t>Male and Female both aged 60s</t>
  </si>
  <si>
    <t>Entered from Gallery B side, spent 120 seconds at the Shrine of St Patricks hand, stopped at the altar stone briefly, looked briefly at each of the three arts and crafts cases, exited through Door A</t>
  </si>
  <si>
    <t>Female approx age 16</t>
  </si>
  <si>
    <t>Entered from Door A, stopped at the cloak interactive for 60 seconds, did not interact, exited through Gallery B side</t>
  </si>
  <si>
    <t>Two schoolboys, approx age 13/14</t>
  </si>
  <si>
    <t>Entered from Gallery side B, stopped at the arts and crafts cases for 30 seconds and exited by Door A</t>
  </si>
  <si>
    <t>2 Males, approx age 20s</t>
  </si>
  <si>
    <t>Entered from Gallery side B, Walked through gallery and exited through Door A</t>
  </si>
  <si>
    <t>French speaking visitors - tourists possibly</t>
  </si>
  <si>
    <t>School group</t>
  </si>
  <si>
    <t>seven teenage girls</t>
  </si>
  <si>
    <t>pair</t>
  </si>
  <si>
    <t>2 Females with 3 toddlers under 2 years old</t>
  </si>
  <si>
    <t>Entered from Door A, walked straight through gallery and exited by Gallery side B</t>
  </si>
  <si>
    <t>Male and Female with a toddler</t>
  </si>
  <si>
    <t>Male and Female, both approx age 20s</t>
  </si>
  <si>
    <t>Entered from Gallery side B, STOPPED AT THE ARTS AND CRAFTS CASES - Looked and read information and exited through Door A</t>
  </si>
  <si>
    <t>1 Stop - brief stop at the arts and crafts cases</t>
  </si>
  <si>
    <t>Male and female, both approx mid 20s</t>
  </si>
  <si>
    <t>Entered through Door A, stopped briefly to read Viking information Viking case 4, exited through Gallery B</t>
  </si>
  <si>
    <t>1 brief stop at Viking case 4 and text panel</t>
  </si>
  <si>
    <t>Male, approx age 50s</t>
  </si>
  <si>
    <t>Entered through Door A, Stopped briefly to look at the Rotary stones, exited through Gallery B</t>
  </si>
  <si>
    <t>1 brief stop at the rotary stones</t>
  </si>
  <si>
    <t>CB</t>
  </si>
  <si>
    <t>2 mid-teens walking through</t>
  </si>
  <si>
    <t>Entered from Gallery B, walked straight through gallery and exited through Door A</t>
  </si>
  <si>
    <t>Male and female</t>
  </si>
  <si>
    <t>Walking through</t>
  </si>
  <si>
    <t>2 men and one teenage girl</t>
  </si>
  <si>
    <t>1 teenage girl and 2 younger children (boy and girl)</t>
  </si>
  <si>
    <t>Passed through without looking at anything in detail</t>
  </si>
  <si>
    <t>Male and female, approx age 40s</t>
  </si>
  <si>
    <t>Man and woman 40s, walked through without looking at anything in particular</t>
  </si>
  <si>
    <t>Used to walk through gallery</t>
  </si>
  <si>
    <t>Entered through Gallery B, walked straight through gallery and exited through Door A</t>
  </si>
  <si>
    <t>Passed straight through</t>
  </si>
  <si>
    <t>Entered through Door A, walked straight through gallery and exited through Gallery B</t>
  </si>
  <si>
    <t>Used as thoroughfare</t>
  </si>
  <si>
    <t>Schoolgirl</t>
  </si>
  <si>
    <t>Entered from Gallery side B, brief 20 second stop at the shrine of st patricks hand, walked through gallery and exited through Door A</t>
  </si>
  <si>
    <t>1 stop - 20 seconds at the shrine of st patricks hand</t>
  </si>
  <si>
    <t>Female</t>
  </si>
  <si>
    <t>Entered through Door A, walked straight through gallery and exited through Gallery B.</t>
  </si>
  <si>
    <t>Group of 14 teenagers and leader/teacher</t>
  </si>
  <si>
    <t>Male and Female both approx age 50s with a young man in his 20s</t>
  </si>
  <si>
    <t>Man in his 40s, moved through gallery - did not look at any displays</t>
  </si>
  <si>
    <t>3 Schoolgirls approx age 13</t>
  </si>
  <si>
    <t>Entered through Door A, Stopped at the Arts and Crafts cases for 30 seconds then walked straight into Gallery B</t>
  </si>
  <si>
    <t>1 STOP - 30 seconds spent looking at the arts and crafts cases</t>
  </si>
  <si>
    <t>Entered through Door A, 1 stop at the Clonmore Shrine for 30 seconds, exited through Gallery B</t>
  </si>
  <si>
    <t>1 stop - 30 seconds spent looking at the Clonmore Shrine</t>
  </si>
  <si>
    <t>Strolled through gallery without stopping</t>
  </si>
  <si>
    <t>DMW</t>
  </si>
  <si>
    <t>Entered through Gallery B side, stopped at the Vikings case 2 and exclaimes "Oooooo, Swords!"</t>
  </si>
  <si>
    <t>1 stop at the Vikings case</t>
  </si>
  <si>
    <t>2 Girls approx age 15</t>
  </si>
  <si>
    <t>Entered through Door A, looked at the Rotary stones for 30 seconds, walked to the shrine of st patricks hand and spent 30 seconds</t>
  </si>
  <si>
    <t>2 girls approx age 15 but not in school uniforms</t>
  </si>
  <si>
    <t>Male and female approx age 40s</t>
  </si>
  <si>
    <t>No real engagement, moved quickly through to get out the other side.  Said hello</t>
  </si>
  <si>
    <t>Two older schoolchildren</t>
  </si>
  <si>
    <t>Entered through Door A, stopped at the Clonmore shrine for 35 seconds, spent 5 seconds looking at the first arts and crafts case, spent 5 seconds look at the shrine of st patricks hand and exited through Gallery B</t>
  </si>
  <si>
    <t>3 stops - 35 seconds at the clonmore shrine, 5 seconds at the first arts and crafts case and 5 seconds spent looking at the shrine of st patricks hand</t>
  </si>
  <si>
    <t>Pair of older schoolchildren - not going round the museum as a part of the whole group</t>
  </si>
  <si>
    <t>Entered through Door A, child touched and interacted with the rotary stones, stopped briefly at the cloak interactive for 30 seconds, child touched the altar stone then they exited through Gallery B</t>
  </si>
  <si>
    <t>2 Females, 30s</t>
  </si>
  <si>
    <t>Entered through Door A, did not stop but briefly looked at the rotary stones.  Exited through Gallery B</t>
  </si>
  <si>
    <t>Female, late teens</t>
  </si>
  <si>
    <t>Did not stop or look at anything</t>
  </si>
  <si>
    <t>Entered through Gallery B, stopped at the Ballyclog bell for 180 seconds, stopped at the altar stone to read text for 180 seconds, exited through Door A</t>
  </si>
  <si>
    <t>2 teenage girls (not in school uniforms)</t>
  </si>
  <si>
    <t>Entered through Gallery B, stopped once at the altar stone briefly and exited through Door A</t>
  </si>
  <si>
    <t>1 stop - 60 seconds spent at the altar stone</t>
  </si>
  <si>
    <t>3 schoolgirls approx age 13/14</t>
  </si>
  <si>
    <t>Entered from Gallery B, Stopped once at the rotary stones</t>
  </si>
  <si>
    <t>Male and Female, 50s</t>
  </si>
  <si>
    <t>Entered from Door A, stopped at the rotary stones and spent 60 seconds looking, 60 seconds spent at the arts and crafts cases, stopped at the altar stone for 120 seconds, stopped at Vikings case 4, stopped at the shrine of st patricks hand and exited through gallery B</t>
  </si>
  <si>
    <t>5 STOPS - stopped at the rotary stones and spent 60 seconds looking, 60 seconds spent at the arts and crafts cases, stopped at the altar stone for 120 seconds, stopped at Vikings case 4, stopped at the shrine of st patricks hand and exited through gallery B</t>
  </si>
  <si>
    <t>Female, 43 years</t>
  </si>
  <si>
    <t>Entered from Gallery B, stopped at the shrine of st patricks hand for 60 seconds, stopped for 120 seconds at the arts and crafts cases, stopped at the subsistence cases briefly then exited through Door A</t>
  </si>
  <si>
    <t>3 STOPS - stopped at the shrine of st patricks hand for 60 seconds, stopped for 120 seconds at the arts and crafts cases, stopped at the subsistence cases briefly then exited through Door A</t>
  </si>
  <si>
    <t>approx age 20s</t>
  </si>
  <si>
    <t>Entered from Gallery B, stopped 4 times - 30 seconds spent looking at the staffs, 60 seconds spent looking at the Vikings cases, 60 seconds spent at the Kingship and social case and a very brief stop at the rotary stones.  Exited through Door A</t>
  </si>
  <si>
    <t>late 30s</t>
  </si>
  <si>
    <t xml:space="preserve">entered from door A, read text the Clonmore Shrine, then read Rotary Stones briefly. Pair split up and each walked different direction around Ballyclog Bell and met up again. Both then made their way to Door B but stopped to read a few times before leaving. </t>
  </si>
  <si>
    <t>engaged at rotary stones, tejm read text at the arts and crafts case. Engaged at altar stone briefly. Most engagment at far righthand side of gallery before Door B (Not sure what is there exactly)</t>
  </si>
  <si>
    <t>spent time on their phone and also split up during.</t>
  </si>
  <si>
    <t>door b to door b</t>
  </si>
  <si>
    <t xml:space="preserve">walked straight in and straight back out </t>
  </si>
  <si>
    <t xml:space="preserve">without children </t>
  </si>
  <si>
    <t>walked in through door A, stopped at Rotary Stones, then to Ballyclog Ball then straight out door B.</t>
  </si>
  <si>
    <t xml:space="preserve">2 STOPS- Engaged at Rotary Stones for 2 minutes then one minute at BallyClog Ball. </t>
  </si>
  <si>
    <t>50s, man &amp; women</t>
  </si>
  <si>
    <t>in through door A then engaged at Rotary Stones before moving on to Exit into Gallery B</t>
  </si>
  <si>
    <t>1 STOP- Only engagement at Rotary Stones for one minute and then left without further engagement</t>
  </si>
  <si>
    <t>20 &amp; 20, two men</t>
  </si>
  <si>
    <t>without children</t>
  </si>
  <si>
    <t xml:space="preserve">walked in through door A, past the Rotary Stone then past the Ballyclog Ball and out door B. </t>
  </si>
  <si>
    <t>1 STOP- Near the end towards Door at Shrine of St Patrick but only for ten seconds.</t>
  </si>
  <si>
    <t xml:space="preserve">walked at slow pace through but did not stop, only glanced at BallyClog Ball before moving on </t>
  </si>
  <si>
    <t>teens, one girl and one boy</t>
  </si>
  <si>
    <t>without  children</t>
  </si>
  <si>
    <t>in through Door, engaged around there before moving on past the Vikings Cases and around Ballyclog Ball, back towards the Altar Stone. Then past the Arts and Carfts before stopping at Rotary Stone tne Clonmore Shrine and leaving Via Door A</t>
  </si>
  <si>
    <t>7 STOPS -  30 seconds then 45 seconds around St Patricks Shrine. 1.30 mins at Vikings Cross. 45 seconds at Arts and Crafts then 15 seconds at Altar Stone. 20 seconds at Rotary Stone then 20 seconds at Clonmore Shrine before leaving</t>
  </si>
  <si>
    <t>Interested in display information. Read text beside interactive, did not engage with</t>
  </si>
  <si>
    <t>early 50S - man &amp; women</t>
  </si>
  <si>
    <t>split off when they arrive and one walks around Ballyclog Ball and one walks past the Altar Stone and Arts and Crafts. Both join together again at Arts and Crafts before walking to Door A together.</t>
  </si>
  <si>
    <t>NO STOPS - comments as they walked past cloak, crafts and Rotary Stone but no stop and engagement.</t>
  </si>
  <si>
    <t>man, late 30s</t>
  </si>
  <si>
    <t>in through door A then past arts and crafts on to Alter Stone. Up towards the top of Vikings Cases before going to St Patricks Shrine then leaving into Gallery B.</t>
  </si>
  <si>
    <t>5 STOPS - Stopped for one minute each at Arts and Crafts, Altar Stone, text at Vikings Cases, displays at Viking Cases then St Patrick's Shrine</t>
  </si>
  <si>
    <t>PAIR</t>
  </si>
  <si>
    <t>man, late 30s and woman, age unknown</t>
  </si>
  <si>
    <t xml:space="preserve">woman walked in through door A, past the Arts and Crafts, then up between vikings cases and ballybog ball to to subsistence and back past vikings cases to st patrick's shrine then leave through door B. Man went past Murlough Hoard before stopping at Rotary Stone then stopping at Ballyclog Bell and straight to St Patrick's shrine past Altar Stone before leaving. </t>
  </si>
  <si>
    <t xml:space="preserve">Women 3 STOPS- 1 minute at Arts and Crafts, brief stop at Vikings Case and one minute at St patricks shrine.                   Man 3 STOPS- 1 minute at Rotary Stone, then 30 seconds at Ballyclog Bell and 1 minute at St Patrick's shrine.  </t>
  </si>
  <si>
    <t xml:space="preserve">left separately, male first then female. </t>
  </si>
  <si>
    <t xml:space="preserve">teen girls </t>
  </si>
  <si>
    <t>walked from door A to Door B quickly through kingship and Arts and Crafts.</t>
  </si>
  <si>
    <t>3 stops - only five seconds each at Ballyclog Bell at different points of the display before leaving</t>
  </si>
  <si>
    <t xml:space="preserve">teen girls speaking french. Walked through again after to meet up with family but did not engage again. </t>
  </si>
  <si>
    <t xml:space="preserve">B to B </t>
  </si>
  <si>
    <t xml:space="preserve">Came in and straight back out through door B after walking around st patricks shrine. </t>
  </si>
  <si>
    <t>NO STOPS</t>
  </si>
  <si>
    <t>changed their mind as soon as they came in</t>
  </si>
  <si>
    <t>late teens</t>
  </si>
  <si>
    <t>wihtout children</t>
  </si>
  <si>
    <t>From Gallery B, walked past Altar Stone then past Cloak, past arts and Crafts and the Rotary Stone before leaving through Door A</t>
  </si>
  <si>
    <t>4 STOPS - 1 minute at start of Altar stone and then another 1 minute at the end of Altar stone. Stopped for 15 seconds at Rotary Stone and another 15 seconds before exiting through Door A.</t>
  </si>
  <si>
    <t>read some information but didn’t speak to eachother</t>
  </si>
  <si>
    <t>older women and adult man</t>
  </si>
  <si>
    <t>From Gallery B, walked past Altar Stone then past Cloak, past arts and Crafts, stopping briefly at Subsitence and then past the Rotary Stone before leaving through Door A</t>
  </si>
  <si>
    <t>1 STOP - 5 second detour to the top righthand of Rotary Stones</t>
  </si>
  <si>
    <t>mother and teen son</t>
  </si>
  <si>
    <t>with children</t>
  </si>
  <si>
    <t>came in through door A and went past Murolough head then between kingship and Arts and Crafts then to Altar Stone and briefly between Vikings and Ballyclog Bell before going to St Patricks Shrine then leaving through door B.</t>
  </si>
  <si>
    <t>5 STOPS- 30 seconds at Murlough Head then 15 seconds at Arts and Crafts, 30 seconds at Altar Stone and then 10 between Ballyclog and Vikings. 10 seconds then spent at St patricks shrine before leaving</t>
  </si>
  <si>
    <t>quietly talking about things that catch their interest. Time spent talking ahout the altar stone in particular</t>
  </si>
  <si>
    <t xml:space="preserve">walked from door A to Door B  through Kingship and Arts and Crafts then past the altar stone and up to bickings cases briefly before stopping at st patricks shrine. </t>
  </si>
  <si>
    <t>4 STOPS - 20 second stop at Rotary Stone, then 15 seconds at Ballyclog with 3 seconds at Vikings casses and 25 seconds at st patricks shrine</t>
  </si>
  <si>
    <t>cb</t>
  </si>
  <si>
    <t>3 adult men</t>
  </si>
  <si>
    <t>walked freom gallery B to door A past the altar stone, through arts and crafts and then past rotary stone and out.</t>
  </si>
  <si>
    <t>3 STOPS - Brief 10 second stop at altar stone before making 15 second stop at arts and crafts cases and then 5 seconds at rotary stone before leaving</t>
  </si>
  <si>
    <t>Male, 40's</t>
  </si>
  <si>
    <t>from gallery B walked past altar stone, between Kingship and Arts and Crafts, past Clonmore Shrine and out door A.</t>
  </si>
  <si>
    <t>2 STOPS- Stoppped to read at Kingship and social (time unknown) then stopped again at Clonmore Shrine (Time unknown).</t>
  </si>
  <si>
    <t>can assume very brief stop times due to entrance and departure</t>
  </si>
  <si>
    <t>UNKNOWN</t>
  </si>
  <si>
    <t>2 TEENAGE BOYS</t>
  </si>
  <si>
    <t>The route, either from A to B or vice versa, is between clonmore shrine and rotary stone to subsitence area then down past kingship and arts and crafts and up between ballyclog and vikings then stop at st patricks shrine before leaving.</t>
  </si>
  <si>
    <t>4 STOPS- stops do not give time but that they stopped for photos. Photo taken at substience point then cloak point and then read and took photos between vikings and ballyclog. One more photo was took at St patricks shrine</t>
  </si>
  <si>
    <t>GROUP</t>
  </si>
  <si>
    <t>3 TEENAGE GIRLS</t>
  </si>
  <si>
    <t>THE ROUTE, assuming it is from Gallery B To Door A, is past the Altar Stone walking between arts and crafts and kingship before stopping at viking cases. Then leaving directly from subsistence area to door A.</t>
  </si>
  <si>
    <t>1 STOP - Viking cases (no time recorded) stopped, read and took photos</t>
  </si>
  <si>
    <t>Gallery B to Gallery B</t>
  </si>
  <si>
    <t>male teenager</t>
  </si>
  <si>
    <t>in through gallery B, stopped and read between kingship and arts and crafts then moved bewtween vikings and ballyclog before exiting out B again.</t>
  </si>
  <si>
    <t>2 STOPS- (no time recorded) but read displays near cloak and then took photo between ballyclog and vikings cases before leaving</t>
  </si>
  <si>
    <t>Teenagers- 2 girls and 1 boy</t>
  </si>
  <si>
    <t>the route, assuming it is from gallery B to Door A is up past the viking cases then back down to go past the cloak then arts and crafts before passing the  clonmore shrine then leaving.</t>
  </si>
  <si>
    <t xml:space="preserve">2 STOPS - one at the Cloak interactive where they looked and discussed before stopping again at Murlough head where they took a photo. </t>
  </si>
  <si>
    <t>TEENAGERS, 3 GIRLS AND 1 BOY</t>
  </si>
  <si>
    <t>From gallery B, they stopped at st patricks shrine before splitting off with some going past arts and crafts and some going past viking cases. They regrouped near subsistence and then walked to Door A without stopping.</t>
  </si>
  <si>
    <t>1 STOP - photo took at st patricks shrine</t>
  </si>
  <si>
    <t>man - 70s</t>
  </si>
  <si>
    <t>From Gallery B past the altar stone then past arts and crafts befores stopping at Clonmore Shrine then exiting</t>
  </si>
  <si>
    <t xml:space="preserve">1 STOP - read at clonmore shrine </t>
  </si>
  <si>
    <t>cm</t>
  </si>
  <si>
    <t>gallery B to door A</t>
  </si>
  <si>
    <t>MALE - TEEN</t>
  </si>
  <si>
    <t>In through Gallery B up past viking cases befores stopping at top of ballyclog bell then moving towards door A without stopping.</t>
  </si>
  <si>
    <t xml:space="preserve">1 STOP- 30 seconds at top of Ballyclog/kingship </t>
  </si>
  <si>
    <t>couple, teens, male and female</t>
  </si>
  <si>
    <t>in from gallery B, stopping near st patricks shrine then stopping at altar stone before moving past arts and crafts to rotary stone to stop before leaving through door A.</t>
  </si>
  <si>
    <t>3 STOPS - 1 minute at st patricks shrine, then 1 minute at altar stone then 30 seconds at rotary stone</t>
  </si>
  <si>
    <t>Male, 20s</t>
  </si>
  <si>
    <t>from gallery B stopping twice near st patricks shrine/ altar stone before moving up twoards viking cases to stop. From there they walk to rotary stone and stop and then stop again near clonmore shrine then leaving.</t>
  </si>
  <si>
    <t>5 STOPS - 1 minute at st patricks shrine then another minute near the staffs by established church. Another 1 minute at viking cases then 30 seconds at Rotary stone. Another 30 seconds at clonmore shrine before leaving.</t>
  </si>
  <si>
    <t>schoolboy, teen</t>
  </si>
  <si>
    <t>in from door A stoppping at rotary stone then moving past arts and crafts before stopping near the staffs at the established church display. Then moving uptowards vikings case and stopping before again stopping at st patricks shrine before leaving to gallery B.</t>
  </si>
  <si>
    <t>4 STOPS - 1 minute spent at Rotary stone, then another 1 minute at established church before spending 2 minutes at the Viking cases. Spent 1 minute at st patricks shrine before leaving.</t>
  </si>
  <si>
    <t>male, 30s</t>
  </si>
  <si>
    <t>from Door A,stopping once at rotary stones before moving to arts and crafts and stopping again. Then straight through to gallery B</t>
  </si>
  <si>
    <t>2 stops- 1 for ten seconds at Rotary Stones then again for 30 seconds at arts and crafts</t>
  </si>
  <si>
    <t>LC</t>
  </si>
  <si>
    <t>NO route mentioned</t>
  </si>
  <si>
    <t>1 STOP recorded as a teacher sharing her thoughs on Ballyclog Bell for 3 minutes</t>
  </si>
  <si>
    <t>unknown</t>
  </si>
  <si>
    <t>1 STOP recorded as a teacher giving chat to school for 3 minutes at Rotary Stones</t>
  </si>
  <si>
    <t>female, late 20s</t>
  </si>
  <si>
    <t>from gallery B, stopping at st patricks shrine before moving to arts and crafts and stopping again. The next stop is at rotary stone before leaving through door A</t>
  </si>
  <si>
    <t>3 STOPS- 1 minute at st patricks shrine then 1 minute at arts and crafts. Then 1 minute at rotary stone before exiting.</t>
  </si>
  <si>
    <t>male, 40s</t>
  </si>
  <si>
    <t>from dgallery B, stopping at staffs in established church before moving towards arts and crafts and stopping. Then a final stop at rotary stone before exiting through door A.</t>
  </si>
  <si>
    <t>3 STOPS- 30 seconds at staffs, then 30 seconds at arts and crafts then another 30 seconds at rotary stones.</t>
  </si>
  <si>
    <t>from gallery B past altar stone, then past arts and crafts towards Door A.</t>
  </si>
  <si>
    <t>NO STOPS RECORDED</t>
  </si>
  <si>
    <t>CL?</t>
  </si>
  <si>
    <t>From Door A, with a stop near Subsistence then back down past Arts and Crafts with a stop at the cloak. Then directly to the fourth display at the viking cases with a stop there. A final stop at st patricks shrine before leaving.</t>
  </si>
  <si>
    <t>4 STOPS - (no times recorded) but 1 stop near subsistence then 1 at the cloak then another at the viking cases then a final at st patricks shrine</t>
  </si>
  <si>
    <t>male, late 20s</t>
  </si>
  <si>
    <t>entered from gallery B, walks past the viking cases and stops for five minutes, around past the subsitence area then down past arts and crafts. Stops for 4 minutes at kingship and arts and crafts. Then stops for 3 minutes at the cloak before directly leaving out through gallery B again.</t>
  </si>
  <si>
    <t>3 STOPS- 5 mins at viking map, 4 mins at Arts and Crafts/kingship then 3 minutes at the cloak.</t>
  </si>
  <si>
    <t xml:space="preserve">observer comments how the map should be bigger at the vikings case as this is where he spent the most time. </t>
  </si>
  <si>
    <t>From gallery B, stops at st patricks shrine then moves to door A without stopping past altar stone, arts and crafts and clonmore shrine.</t>
  </si>
  <si>
    <t>1 STOP- 3 minutes spent just at st patricks shrine</t>
  </si>
  <si>
    <t>B</t>
  </si>
  <si>
    <t>Door B to side A</t>
  </si>
  <si>
    <t>Male/50s</t>
  </si>
  <si>
    <t>Without Children</t>
  </si>
  <si>
    <t>Door B, Inauguration sites, Red Hand Corner, New Order cases, Stone chair, Norman Lordship, European Church - end</t>
  </si>
  <si>
    <t>Inauguration sites (30s), Red Hand Corner(180s read all text), New Order case1 (30s), New Order case 2 (30s) Stone chair, Norman Lordship, European Church - end</t>
  </si>
  <si>
    <t>Side A to Door B</t>
  </si>
  <si>
    <t>Entered from gallery A, stopped at the innauguration sites section, walked to the reformation text - spent 120 seconds reading, left through door b</t>
  </si>
  <si>
    <t>2 stops - 60 seconds inauguration sites cases and 120 seconds spent at the reformation wall</t>
  </si>
  <si>
    <t xml:space="preserve">Entered from gallery A, paused at doorway B to briefly read text on the wall, exited through doorway B </t>
  </si>
  <si>
    <t>No stops - a brief 3 second pause recorded</t>
  </si>
  <si>
    <t>Walked through gallery slowly without stopping until a brief pause at Door B exit to read text</t>
  </si>
  <si>
    <t>Couple</t>
  </si>
  <si>
    <t>Male and female, both aged 40s</t>
  </si>
  <si>
    <t>Entered from gallery A, Walked straight through gallery B and exited through Door B.</t>
  </si>
  <si>
    <t>Using as throughfare</t>
  </si>
  <si>
    <t>Group of four ladies, approx age 40s</t>
  </si>
  <si>
    <t>Entered through Gallery A, stopped at the Tomb front and exited through Door B</t>
  </si>
  <si>
    <t>1 Stop - 120 seconds spent at the tomb front</t>
  </si>
  <si>
    <t>Came in with one of the staff members to look at some of the exhibits</t>
  </si>
  <si>
    <t>Entered through Gallery A, approached volunteer to chat, exited through Door B</t>
  </si>
  <si>
    <t>1 STOP - 180 Second cat with observation volunteer.</t>
  </si>
  <si>
    <t>Lady is with a group of 8 from a local womens centre.  Her daughter persuaded her to visit the museum.  She is thrilled with it as she loves history.  She has been in Belfast for 11 years and this was her first visit!  She will aim to do 2 galleries per visit.</t>
  </si>
  <si>
    <t>Group of four schoolgirls , approx age 14</t>
  </si>
  <si>
    <t>Entered from Gallery A, walked straight through - stopped at the interactive phone and exited through Door B</t>
  </si>
  <si>
    <t>1 stop - 120 seconds spent at the interactive phone.</t>
  </si>
  <si>
    <t>Fascinated by the phone!</t>
  </si>
  <si>
    <t>Entered through Gallery A, brief look at the New Order tile case and exited through Door B</t>
  </si>
  <si>
    <t>Brief 30 second look in the New Order tile case</t>
  </si>
  <si>
    <t>Using B as a thoroughfare</t>
  </si>
  <si>
    <t>IC</t>
  </si>
  <si>
    <t>With Children</t>
  </si>
  <si>
    <t>Entered from Door B, Stopped at the Inauguration sites display, stopped at the Shrine of St Patricks hand</t>
  </si>
  <si>
    <t>2 Stops - 30 seconds spent at the inauguration sites display and 30 seconds spent looking at the Shrine of St Patricks hand.</t>
  </si>
  <si>
    <t>General Feedback from Observation Volunteer Colette M - People generally didn’t spend long in this gallery.  No one went near the Floor tile interactive or the bottleneck space around, Suggestion - remove tiles from the New Order case and put with the interactive tiles.  Suggestion to turn the interactive tiles around so people can see it.  Very large stone seat at the Inauguration display case but the writing is far too small.  The Shrine of St Patricks hand is a big draw to visitors, The Red Hand corner is a hot spot, younger visitors &lt;20 loved the phone - need more of this, noone looks at the Ireland/Spain map on wall - just wallpaper, the way the exhibits are orientated in this gallery is off-putting - too many corners.</t>
  </si>
  <si>
    <t>Entered from Door B, read text and engaged with all the text and displays along the reformation wall and red hand corner.  Took photots of the sword and scabbard, looked at the New Order cases, went to the inauguration chair - has to kneel down to read the sign.  Went right around the inauguration display case.  Went to the tomb front and quern - crouched to read the sign, looked at all the cases and went to the Norman Lordship display.  Visited the shrine of st patricks hand and exited to Gallery A</t>
  </si>
  <si>
    <t>13 STOPS - 120 seconds spent at the reformation wall, signet ring and impression, 60 seconds spent reading the red hand text and took a photo of the sword and scabbard, 120 seconds spent at the New Order case, 60 seconds spent at the inauguration chair, 90 seconds spent looking at the inuguration display, 120 seconds spent at the tomb front and quern, crouched to read the sign 90 seconds spent at the Norman Lordship display, 30 seconds spent at the shrine of st patricks hand and stopped to look at the European church display</t>
  </si>
  <si>
    <t>Most engaged visitor to date!  Probably a fan of Dungeons and Dragons (game played by teenagers / early 20s, usually male)</t>
  </si>
  <si>
    <t>Entered from Door B, stopped once at the New Order case briefly then exited through Gallery A</t>
  </si>
  <si>
    <t>Entered from Gallery A, stopped briefly at the New Order case and exited by Door B</t>
  </si>
  <si>
    <t>Not really engaged</t>
  </si>
  <si>
    <t>Entered from Gallery A, 30 seconds spent at the tomb front and quern, 120 seconds spent looking at the Ireland map on the wall, exited through Door B</t>
  </si>
  <si>
    <t>First person I have noticed to stop and look at the map of Ireland on the wall.</t>
  </si>
  <si>
    <t>Males, 40s</t>
  </si>
  <si>
    <t>Entered from Door B, Spent 30 seconds at the inauguration chair, walked straight into Gallery side A</t>
  </si>
  <si>
    <t>Using gallery as a shortcut</t>
  </si>
  <si>
    <t>Males</t>
  </si>
  <si>
    <t>Two schoolboys, part of a larger school group</t>
  </si>
  <si>
    <t>Entered from Gallery side A, went to the new order case, spent 60 seconds looking there, went to the red hand corner display, spent 60 seconds reading the Reformation text and exited through Door B</t>
  </si>
  <si>
    <t>Seemed interested in the phone on the way out</t>
  </si>
  <si>
    <t>Male and female approx age 14</t>
  </si>
  <si>
    <t>1 schoolboy and 1 schoolgirl</t>
  </si>
  <si>
    <t>Entered through door B, walked straight through and exited into Gallery A</t>
  </si>
  <si>
    <t>2 males - one age 40s and one age 60s</t>
  </si>
  <si>
    <t>Entered through Gallery A, spent 60 seconds looking at the Shrine of st patricks hand, walked to the tomb front and quern and stopped for 60 seconds.  Exited by Door B</t>
  </si>
  <si>
    <t>Female, 20s</t>
  </si>
  <si>
    <t>With child</t>
  </si>
  <si>
    <t>Entered through Gallery A, walked around cases and exited through Door B.</t>
  </si>
  <si>
    <t>2 Schoolgirls approx age 17</t>
  </si>
  <si>
    <t>2 Males and One Female - all aprox age 20s</t>
  </si>
  <si>
    <t>Entered through door B, stopped at the Reformation text and read it for 30 seconds, visited the New Order case with tiles and stopped for 30 seconds, exited through Gallery A</t>
  </si>
  <si>
    <t>Female, approx late teens</t>
  </si>
  <si>
    <t>Entered through Door B, 30 seconds spent reading the Reformation text, walked to the inauguration chair and spent 30 seconds there and stopped at the shrine of st patricks hand for 120 seconds.  Exited through Gallery A</t>
  </si>
  <si>
    <t>Entered through Door B, Stopped at the inauguration display case, stopped at the tomb front and quern and stopped at the shrine of st patricks hand</t>
  </si>
  <si>
    <t>Entered through Door B, walked to the Norman Lordship display, exited through Gallery A</t>
  </si>
  <si>
    <t>1 stop at the Norman Lordship display</t>
  </si>
  <si>
    <t>Walked quickly through, did not stop to read any information</t>
  </si>
  <si>
    <t>3 Schoolgirls approx age 14</t>
  </si>
  <si>
    <t>Entered through Gallery A, spent 60 seconds at the inauguration display case, exited through Door B</t>
  </si>
  <si>
    <t>1 Stop - spent 60 seconds at the inauguration display case, exited through Door B</t>
  </si>
  <si>
    <t>Female, early 30s</t>
  </si>
  <si>
    <t>Entered through Gallery A,</t>
  </si>
  <si>
    <t>Entered from Gallery A, walked straight through and exited through Door B</t>
  </si>
  <si>
    <t>No stops, No engagement</t>
  </si>
  <si>
    <t>Just a quick walk through</t>
  </si>
  <si>
    <t>Entered from Door B, Walked straight through and exited by Gallery B</t>
  </si>
  <si>
    <t>Entered from Door B, stopped at the inauguration charir for 30 seconds, stopped at the shrine of st patricks hand for 30 seconds</t>
  </si>
  <si>
    <t>2 stops - 30 seconds at the inauguration chair and 30 seconds at the shrine of st patricks hand</t>
  </si>
  <si>
    <t>JB</t>
  </si>
  <si>
    <t>Entered from Gallery A, stopped at the inauguration chair for 60 seconds, stopped to look at the Ireland / Spain map for 120 seconds.  Exited through Door B</t>
  </si>
  <si>
    <t>2 stops - 60 second stop at the inauguration chair and 120 seconds spent looking at the Ireland / Spain map</t>
  </si>
  <si>
    <t>Spanish speaking visitors - stopped at inauguration chair and &lt;something&gt; about Ireland and Spain</t>
  </si>
  <si>
    <t>Entered from Gallery side A, stopped 4 times.  First stop was 60 seconds at the Norman Lordship case, walked to the corner and stopped to look at the sword and sabbard, red the text on the Red Hand wall for 60 seconds, stopped at the reformation wall for 60 seconds - exited through Door B</t>
  </si>
  <si>
    <t>Male and Female approx age 20s</t>
  </si>
  <si>
    <t>Entered from Gallery A, read text about the shrine of st patricks hand, read text at the Norman Lordship display, read the text at the Red Hand corner, read reformation text and exited through Door B</t>
  </si>
  <si>
    <t>Entered from Gallery side A, read text at the red hand corner display, read text at the reformation wall and read text at the tomb front and quern display</t>
  </si>
  <si>
    <t>Male and Female, both approx 30s</t>
  </si>
  <si>
    <t>Entered from Door B, READ TEXT ON THE TOMB FRONT AND QUERN, READ TEXT ON THE Norman Lordship display, exited through Gallery A</t>
  </si>
  <si>
    <t>Two teenage boys</t>
  </si>
  <si>
    <t>Entered through Door B, walked through gallery and exited through gallery A</t>
  </si>
  <si>
    <t>Did not stop or read anything</t>
  </si>
  <si>
    <t>Two girls, approx age mid-20s</t>
  </si>
  <si>
    <t>Entered through Door B, picked up the interactive phone for a few seconds, walked straight through gallery and exited through Gallery A</t>
  </si>
  <si>
    <t>Male and Female approx age 60s</t>
  </si>
  <si>
    <t>Visited with a toddler - walked straight through gallery from Door B to Gallery A</t>
  </si>
  <si>
    <t>No stop, no engagement</t>
  </si>
  <si>
    <t>Did not stop</t>
  </si>
  <si>
    <t>Female, 60s</t>
  </si>
  <si>
    <t>Entered from Gallery side A, stopped to read text on the New Order cases, read text on the Red Hand display, read text on the Reformation, exited through Door B</t>
  </si>
  <si>
    <t>Female, 50s</t>
  </si>
  <si>
    <t>Entered from Gallery side A, red text at the Red Hand display, walked round to the tomb front and quern, exited through Door B</t>
  </si>
  <si>
    <t>Entered from Gallery A, read text at the Red Hand corner display, read text at the tomb front and quern</t>
  </si>
  <si>
    <t>Two teenage girls</t>
  </si>
  <si>
    <t>Entered from Gallery A, stopped briefly to read the reformation text, exited through Door B</t>
  </si>
  <si>
    <t>Entered from Door B, walked straight through gallery and exited through Gallery A</t>
  </si>
  <si>
    <t>2 Males</t>
  </si>
  <si>
    <t>Entered from Gallery side A, stopped briefly at the Norman Lordship case, walked straight through gallery and exited through Door B</t>
  </si>
  <si>
    <t>One brief stop at the Norman Lordship case</t>
  </si>
  <si>
    <t>2 Teenage boys</t>
  </si>
  <si>
    <t>Entered through Door B, stopped at the interactive phone, walked straight through gallery and exited through Gallery A</t>
  </si>
  <si>
    <t>Entered through Door B, walked straight through gallery and exited through Gallery A</t>
  </si>
  <si>
    <t>Using gallery as a thoroughfare</t>
  </si>
  <si>
    <t>Entered from Side A, circled around the inauguration display cases and discussed some of the objects, exited through Door B</t>
  </si>
  <si>
    <t>Slow walk around inauguration cases but did not stop to read information</t>
  </si>
  <si>
    <t>Males approx ages 40 and 50</t>
  </si>
  <si>
    <t>Entered from Door B, turned and exited through Door B</t>
  </si>
  <si>
    <t>Entered from Door B, walked through gallery, stopped once at the shrine of st patricks hand for 10 seconds, exited through gallery A</t>
  </si>
  <si>
    <t>One stop - 10 seconds spent at the shrine of st patricks hand.</t>
  </si>
  <si>
    <t>Strolled slowly through, looking at cases as they went</t>
  </si>
  <si>
    <t>Males, both early 20s</t>
  </si>
  <si>
    <t>Entered from Door B, stopped briefly to read information on the tomb front and quern, exited through Gallery A</t>
  </si>
  <si>
    <t>One stop - 10 seconds spent reading text</t>
  </si>
  <si>
    <t>Male 30s</t>
  </si>
  <si>
    <t>Entered from Door B, stopped briefly to read information on the Reformation, exited through Gallery A</t>
  </si>
  <si>
    <t>One stop - Stopped at the Reformation display to read information</t>
  </si>
  <si>
    <t>Female 30s</t>
  </si>
  <si>
    <t>Entered from Door B, spent 180 seconds at the Norman Lordship case, 120 seconds spent at the European Church display of crosses</t>
  </si>
  <si>
    <t>2 stops - 180 seconds at the Norman Lordship display and 120 seconds at the european church display</t>
  </si>
  <si>
    <t>1 Schoolgirl, approx age 15</t>
  </si>
  <si>
    <t>Entered from Gallery A, stopped at the Inauguration display for 30 seconds and exited through Door B</t>
  </si>
  <si>
    <t>One stop - 30 seconds spent at the inauguration display</t>
  </si>
  <si>
    <t>Male and Female, 30s</t>
  </si>
  <si>
    <t>Entered from Gallery A, took a selfie of them both in front of the inauguration site display</t>
  </si>
  <si>
    <t>One stop - took a selfie at the inauguration site display</t>
  </si>
  <si>
    <t>Two Males, 20s</t>
  </si>
  <si>
    <t>Entered from Gallery A, stopped at the inauguration site display for 60 seconds</t>
  </si>
  <si>
    <t>Stopped once - 60 seconds at the inauguration display</t>
  </si>
  <si>
    <t>4 schoolboys approximate age 13/14</t>
  </si>
  <si>
    <t>Spent 60 seconds at the Shrine of St Patricks Hand and said "that's class!"       Walked over to the signet ring and impression and spent 30 seconds there.  Exited through Door B</t>
  </si>
  <si>
    <t>Male and Female, mid-20s</t>
  </si>
  <si>
    <t>Entered through Door B, walked through gallery and exited through Gallery A</t>
  </si>
  <si>
    <t>Younger mid-twenties couple.  Talking quietly as they passed through the gallery</t>
  </si>
  <si>
    <t>Male</t>
  </si>
  <si>
    <t>Father and young daughter.  Not very engaged</t>
  </si>
  <si>
    <t>Six schoolboys</t>
  </si>
  <si>
    <t>Entered through Door B, Stopped at the Inauguration chair for 30 seconds, spent 30 seconds at the shrine of st patricks hand then exited through gallery A</t>
  </si>
  <si>
    <t>Entered from Gallery A, slow walk to the norman lordship display, the inauguration chair and the sword and scabbard but did not stop.  Exited through Door B</t>
  </si>
  <si>
    <t>No stops, slow walk through Gallery</t>
  </si>
  <si>
    <t>Entered from Door B, stopped for 30 seconds to look at the tomb front and quern, stopped at the Norman Lordship display for 30 seconds.  Exited through Gallery A</t>
  </si>
  <si>
    <t>2 Stops - 30 spent at the tomb front and quern and 30 seconds spent at the Norman Lordship display</t>
  </si>
  <si>
    <t>Mother and infant child - Entered from Gallery A, SPENT 60 SECONDS LOOKING AND TAKING PHOTOS OF THE SHRINE OF ST PATRICKS HAND, 60 seconds spent at the Norman Lordship display, spent 30 seconds at the New Order cases then exited by Door B</t>
  </si>
  <si>
    <t xml:space="preserve">3 STOPS - 60 SECONDS LOOKING AND TAKING PHOTOS OF THE SHRINE OF ST PATRICKS HAND, 60 seconds spent at the Norman Lordship display, spent 30 seconds at the New Order cases </t>
  </si>
  <si>
    <t>Entered through Gallery A, stopped at the new order cases for 60 seconds, went to the inauguration chair for 60 seconds, 30 at the Red Hand corner, 60 seconds at the signet ring and impression, 30 seconds reading the reformation text.  Walked around the inauguration sites case and exited through Door B</t>
  </si>
  <si>
    <t>Entered through gallery A, read text on the Norman Lordship, read text on the Irish and Spanish wall and exited through Door B</t>
  </si>
  <si>
    <t>2 brief stops to read text at the Norman Lordship display and the ireland and Spain wall</t>
  </si>
  <si>
    <t>Entered through Door B, 30 seconds spent reading the Reformation text, 60 seconds spent looking at the New Order cases, 60 seconds spent at the inauguration sites case, exited through Gallery A</t>
  </si>
  <si>
    <t>3 stops - 30 seconds at the Reformation wall, 60 seconds spent at the New Order cases and 60 seconds spent at the inauguration sites case</t>
  </si>
  <si>
    <t>Male and Female</t>
  </si>
  <si>
    <t>Entered through Door B, brief stop at the Signet ring and impression, brief stop at the New Order cases and a brief stop at the Norman Lordship case.</t>
  </si>
  <si>
    <t>group</t>
  </si>
  <si>
    <t>3 school girls approx 14</t>
  </si>
  <si>
    <t>entered from st patricks shrine with a stop at the inaugration sites before exiting out door B</t>
  </si>
  <si>
    <t>1 STOP - 1 minute at inuaguration sites</t>
  </si>
  <si>
    <t>couple, 20s</t>
  </si>
  <si>
    <t>quick walkthrough from shrine of st patrick past the new order then past reformation texts to door B</t>
  </si>
  <si>
    <t xml:space="preserve">NO STOPS </t>
  </si>
  <si>
    <t>23/11/25`</t>
  </si>
  <si>
    <t>walked in through Door B, past Ireland and Spain Image, then past inauguration sites. Walked past Norman Lordship to Side A without stopping.</t>
  </si>
  <si>
    <t>EJ</t>
  </si>
  <si>
    <t>walked in through side A, stopping at the Norman Lordship then straight out Door B.</t>
  </si>
  <si>
    <t>One stop - Quick glance at Norman Lordship</t>
  </si>
  <si>
    <t>Walked in from side A and glanced at Norman Lordship before stopping at European Church. Then moved towards inauguration sites before stopping at the Signet Ring impression. After they stopped at the tomb front and then moving out to Door B.</t>
  </si>
  <si>
    <t xml:space="preserve">3 proper stops - 20 seconds at European Church, 10 seconds at Red Hand Text and 10 seconds at Tomb Front. </t>
  </si>
  <si>
    <t>Entered through Door B and stopped at the Tomb Front for 30 seconds before moving towards the Norman Lordhsip and stopping for 20 seconds. They then stopped for 20 seconds just before the European Church befores stopping at the European Church for 15 seconds. They then left through Side A.</t>
  </si>
  <si>
    <t>4 stops- 30 seconds at Tomb Front, 20 seconds at Norman Lordship, 20 seconds before European Church and 15 seconds at European Church.</t>
  </si>
  <si>
    <t>Group- 2 adults, 1 child</t>
  </si>
  <si>
    <t xml:space="preserve">entered through Door B before going straight to asking a volunteer near the Norman Lordship where the mummy is. After being told, they exited straight away to find the mummy. </t>
  </si>
  <si>
    <t>Only interested in location of mummy.</t>
  </si>
  <si>
    <t xml:space="preserve">Walked in from side A and stopped at Norman Lordship for 20 seconds, then moving on to the New Order and stopping for 20 seconds. He then quickly stopped at the Tomb Front before spending 45 seconds looking at the inauguration sites and the cooking instruments. He then moved up towards the Sword Scabbard for 20 seconds and then spent 20 seconds at the Red Hand Text and then a further 25 seconds looking at Signet Ring and the Reformation Text. He then moved on and spent 25 seconds at the Ireland &amp; Spain Image before spending 5 seconds at Querne and then leaving. </t>
  </si>
  <si>
    <t xml:space="preserve">9 stops - 20 seconds at Norman Lordship, 20 seconds at New Order, 30 seconds at the Inauguration Sites and 15 seconds at the cooking intruments. 20 seconds at the Sword Scabbard, 20 seconds at the Red Hand Text, 25 seconds at the Reformation Text. 25 Seconds at the Ireland and Spain Image and 5 seconds at the Querne. </t>
  </si>
  <si>
    <t>Entered through Side A before slowly walking past the Red Hand Text/Signet Ring Impression but not stopping, just glancing. They then moved to the Ireland and Spain Image and stopped for 5 seconds before leaving.</t>
  </si>
  <si>
    <t>1 stop- 5 seconds at Ireland and Spain Image.</t>
  </si>
  <si>
    <t xml:space="preserve">Walked in from Side A and stopped at the New Order for 10 seconds before spending 20 seconds at the sword. They then had a quick glance at the Red Hand Text before moving spending 20 seconds at the Tomb Front. They then spent 20 seconds at the Inauguration Sites before leaving through Door B. </t>
  </si>
  <si>
    <t>4 stops - 10 seconds at the New Order, 20 seconds at the Sword, 20 seconds at the Tomb Front and 20 seconds at the Inauguration Sites.</t>
  </si>
  <si>
    <t>Group - 1 adult, 3 children</t>
  </si>
  <si>
    <t>Young child spent 30 seconds at the Shrine of St Patrick before the group moved on and spent 20 seconds at the Inauguration Sites. They then spent 10 seconds at the New Order before leaving.</t>
  </si>
  <si>
    <t xml:space="preserve">3 stops- 30 seconds at shrine, 20 seconds at inauguration sites and 10 seconds at the New Order. </t>
  </si>
  <si>
    <t>with one child</t>
  </si>
  <si>
    <t xml:space="preserve">Entered through Door B before the child spent 20 seconds at the Reformation Text. The group then moved on to spend 10 seconds at the Inauguration sites but the parents were afraid of the child touching. They then spent 20 seconds at the Norman Lordship before leaving. </t>
  </si>
  <si>
    <t>3 Stops - 20 seconds at the Reformation Text, 10 seconds at the Inauguration Sites and 20 seconds at the Norman Lordship.</t>
  </si>
  <si>
    <t>Group - 1 adult, 2 children</t>
  </si>
  <si>
    <t>Only did a walkthrough from Door B to Side A.</t>
  </si>
  <si>
    <t xml:space="preserve">Walked in through Side A, stopped at the New Order/ Sword for about 1 minute before leaving. </t>
  </si>
  <si>
    <t>1 stop - 1 minute at New Order/ Sword</t>
  </si>
  <si>
    <t>14 Year old school girls</t>
  </si>
  <si>
    <t>Walked in from Side A, walked past the inauguration sites and stopped at the Tomb Front for 30 seconds then left out Door B.</t>
  </si>
  <si>
    <t>1 stop- 30 seconds at the Tomb Front.</t>
  </si>
  <si>
    <t>Walked in from Side A, goes straight past the Norman Lordship, New Order to the Reformation Text and stops there for 1 minute. Then leaves through Door B.</t>
  </si>
  <si>
    <t>1 stop- Reformation text</t>
  </si>
  <si>
    <t>Entered through Side A before stopping at the Norman Lordship for 30 seconds. Then they moved between the cooking instruments and the inauguration sites before stopping and using headphones at the Reformation Text for 1 minute, 30 seconds and then leaving.</t>
  </si>
  <si>
    <t>2 stops - 30 seconds at Norman Lordship and 90 seconds at the Reformation Text.</t>
  </si>
  <si>
    <t>Female, 40's</t>
  </si>
  <si>
    <t>entered through Door B and walked straight through to Side A without stopping or glancing.</t>
  </si>
  <si>
    <t>no stops</t>
  </si>
  <si>
    <t>Entered from side A, stopped for 1 minute around the shrine and European Church. Took Pictures here before spending another 30 seconds at the text around the European Church. Moved past the Inauguration sites and the Tomb Front without stopping. They then stopped at the Ireland &amp; Spain Image for 30 seconds and took photos before leaving through Door B.</t>
  </si>
  <si>
    <t>3 stops- 1 minute around the shrine of st patrick/ european church, 30 seconds at the text of the european church and 30 seconds at the Ireland and Spain Image.</t>
  </si>
  <si>
    <t>took pictures at both the european church/ st patricks shrine and the Ireland and Spain Image.</t>
  </si>
  <si>
    <t xml:space="preserve">Entered from Door B and stopped at the Ireland and Spain image for 1 minute. They then moved to the inauguration sites and stopped for 1 minute before splitting up. The female moved towards the corner holding the red hand text and signet ring, spending 1 minute there before spending another 1 minute at the New Order. The man spent 2 minutes at the reformation text before meeting the female at the New Order and also spending 1 minute there. They then both moved towards the the Tomb Front and spent 1 minute there togeter before leaving out Side A. </t>
  </si>
  <si>
    <t>6 stops altogether - 1 minute at Ireland &amp; Spain, 2 minutes at the Reformation Text, 1 minute at the Red Hand Text, 1 minute at the inauguration Texts, 1 minute at the New Order and 1 minute at the Tomb Front.</t>
  </si>
  <si>
    <t>Group- 3 schoolboys</t>
  </si>
  <si>
    <t>14 Year old school boys</t>
  </si>
  <si>
    <t>entered from Door B and stopped at the Quernt for 30 seconds before moving to right hand side of the Inauguration site and stopping for 30 seconds. Then moved past the New Order without stopping and leaving through Side A.</t>
  </si>
  <si>
    <t>2 stops- 30 seconds at the Quernt and 30 seconds at the Inauguration Sites</t>
  </si>
  <si>
    <t>Volunteer wrote that one of them was carrying a sword they bought at gift shop and matching it to the swords in the gallery. This was also a school art trip</t>
  </si>
  <si>
    <t>Grandfather and grandson aged 10</t>
  </si>
  <si>
    <t>entered from side A and immediately stopped around the Shrine of St Patrick for 1 minute before walking between the inauguration site and tomb front to the phone at the Reformation Text and staying there for 1 minute before exiting through door B.</t>
  </si>
  <si>
    <t>2 stops - 1 minute at the shrine and 1 minute at the Reformation Text.</t>
  </si>
  <si>
    <t>couple, 40s</t>
  </si>
  <si>
    <t>Walked in from side A and stopped for 1 minute at the Norman Lordship, they then split and the female moves towards the Tomb Front and stays there for 1 minute. The male moves towards the inauguration site opposite the tom front and spends 1 minute there. They then move up towards the New Order where the male spends 1 minute at the sword and the female looks at the Red Hand Text for 1 minute. The female then moves to the phone at the Reformation Text for 1 minute and then they both leave through door B.</t>
  </si>
  <si>
    <t>6 stops altogether- 1 minute at the Norman Lordship, 1 minute at the Tomb Front, 1 minute at the inauguration sites, 1 minute at the sword, 1 minute at the Red hand text and 1 minute at the Reformation Text.</t>
  </si>
  <si>
    <t>Volunteer makes comment that most men immediately are attracted to the weapons.</t>
  </si>
  <si>
    <t>Male and female immediately separate after entering from site A with the male spending 1 minute at the inauguration sites before moving to spend 30 seconds near the New Order/sword. The female spent 30 seconds at the inauguration site before spending 30 seconds at Ireland and Spain Image before leaving.</t>
  </si>
  <si>
    <t>4 stops altogether- 1 minute 30 seconds at Inauguration site- more time spent at the lefthand side of it. 30 seconds at the New Order/sword and 30 secondsa at the Ireland and Spain Image.</t>
  </si>
  <si>
    <t xml:space="preserve"> couple, 20s</t>
  </si>
  <si>
    <t>Entered from Door B and walked past the Reformation Text and stopped at the left end of the Inauguration sites for ten seconds before movine on towards the shrine of st Patrick and stopping for 30 seconds.</t>
  </si>
  <si>
    <t>2 stops - 10 seconds at left end of inauguration site and then 30 seconds at shrine of st patrick</t>
  </si>
  <si>
    <t>Walked in from Side A straight to the inauguration sites. Stopped on the left side of this for 1 minute before stopping again for another minute at the top right of the inauguration sites. Then stopped for 1 minute at the phone at the Reformation Text and then moving dwon to the Ireland Spain Image and stopping there for another minute before exiting through door b.</t>
  </si>
  <si>
    <t>4 stops - 1 minute at inauguration left and 1 minute at inauguration top right. 1 minute at reformation text and 1 minute at Ireland Spain image.</t>
  </si>
  <si>
    <t>female, 20s</t>
  </si>
  <si>
    <t>Unsure of direction but assuming they came in from Door B, she went to the Ireland Spain image for 1 minute, then up towards the new order and stopped for 1 minute. Moved down towards the Norman Lordship for 1 minute before exiting through Side A.</t>
  </si>
  <si>
    <t>3 stops- 1 minute at Ireland Spain Image, 1 minute at New Order/sword and 1 minute at Norman Lordship.</t>
  </si>
  <si>
    <t>2 males, 20s</t>
  </si>
  <si>
    <t>Entered through Door B, and stops at the Tomb front for 2 minutes before spending 30 seconds at the cooking instruments across from the inauguration sites. Then moved up towards the New Order/Swords for 1 minute before turning and leaving directly out Side A without stopping again.</t>
  </si>
  <si>
    <t xml:space="preserve">3 stops - 2 minutes at Tomb Front, 30 seconds at cooking instruments and 1 minute at New Order/ weapons </t>
  </si>
  <si>
    <t>couple, 30s</t>
  </si>
  <si>
    <t>Entered from Door B and the male stops at the phone by the reformation text for 1 minute whilst the female spends 1 minute at the new order/weapons. The male then moves on past her down towards the Norman Lordship for 1 minute and then 30 seconds at the patrick of shrine before leaving by side A. The female spends 1 minute at teh European Church area before leaving.</t>
  </si>
  <si>
    <t>5 stops altogether- 1 minute at the Reformation Text, 1 minute at the New Order/Weapons, 1 minute at eh Norman Landship, 30 seconds at St Patrick's shrine and 1 minute at the European Church.</t>
  </si>
  <si>
    <t>two males, one in 30s and one in 60s</t>
  </si>
  <si>
    <t>enters from side A, spends 1 minute at the Norman Lordship before moving on to spend on minute between the tomb front and inauguration site looking at the inauguration sites for 1 minute. They then split, with the younger male going to look around the Red Hand Text for 1 minute and the older make spending two minutes at the Ireland Spain Image before both exiting through door b.</t>
  </si>
  <si>
    <t>4 stops altogether- 1 minute at Norman Lordship, 1 minute at the bottom side of the inauguration site. 1 minute at the Red Hand Text and then two minutes at Ireland Spain Image.</t>
  </si>
  <si>
    <t>Enters from side A and moves between the inauguration and tomb front area without stopping and quickly moves towards Door B.</t>
  </si>
  <si>
    <t>teacher (40s) and student (16)</t>
  </si>
  <si>
    <t>without Children</t>
  </si>
  <si>
    <t>enters and spends 30 seconds at shrine of st patrick. They then move uptowards new order and spend 30 seconds around there. They then spend 30 seconds at the top side of the inaugration site before leaving through door B.</t>
  </si>
  <si>
    <t>3 stops- 30 seconds at st patricks shrine,  30 seconds at New Order and 30 seconds at inauguration site.</t>
  </si>
  <si>
    <t>2 schoolboys aged 13</t>
  </si>
  <si>
    <t xml:space="preserve">enters from side A, then stops 30 seconds at Norman Landship and then moving to the bottom side of the inauguration site and stopping for 30 seconds there. They they then left through Door B. </t>
  </si>
  <si>
    <t>2 stops- 30 seconds at the Norman Lordship and 30 seconds at the bottom side of the inaugration site.</t>
  </si>
  <si>
    <t xml:space="preserve">both entered from door B before splitting up. The female spent 2 minutes around the phone at the Reformation Text and then moved on to meet the man at the Red Hand Text area. The male went directly to the red hand text for 1 minute before they both moved towards the chair on the left side of the inauguration site for 30 seconds. Both moved on to the New Order/weapons area for 30 seconds and then left directly out side A. </t>
  </si>
  <si>
    <t>4 stops altogether- 2 minutes at the Reformation Text, 1 minute at the Red Hand Text, 30 seconds at the New Order/Weapons area. 30 seconds at the chair at the Inauguration area.</t>
  </si>
  <si>
    <t>straight through from side A to Door B through the inauguration bottom side without stopping.</t>
  </si>
  <si>
    <t xml:space="preserve">no stops </t>
  </si>
  <si>
    <t>07/0126</t>
  </si>
  <si>
    <t>enters from side A, stops for 30 seconds at the left side, by the chair, at the inauguration site. Then moves towards the tomb front and stops for 30 seconds before leaving through door B.</t>
  </si>
  <si>
    <t>2 stops- 1 at chair at inauguration site and 30 seconds at the tomb front.</t>
  </si>
  <si>
    <t>father (60s) and daughter (30s)</t>
  </si>
  <si>
    <t>walked in through site A directly to the weapons area at New Order where they stopped for 1 minute. They then read the text at Red Hand for 1 minute and read the text at Reformation Text for 1 minute before moving on to Ireland Spain Image and reading the text there for 1 minute.</t>
  </si>
  <si>
    <t>4 stops- 1 minute at new order/weapons. 1 minute at read hand text . 1 minute at reformation text and 1 minute at the Ireland Spain Image</t>
  </si>
  <si>
    <t>group - 2 adults and a baby</t>
  </si>
  <si>
    <t>couple, 20s. Baby in pram</t>
  </si>
  <si>
    <t>Entered from Door B and spent 30 seconds at the right side of the inauguration exhibit before spending 1 minute at the top side of the inauguration site. Then they spent 30 seconds at the left side, by the chair, of the inauguration site. They then moved on to the Norman Lordship and stayed for 30 seconds before leaving.</t>
  </si>
  <si>
    <t>4 St-seconds at left side of inauguration, 1 minute at toop side of inauguration site and 30 seconds by the left side near the chair. 30 seconds at Norman Lordship before leaving.</t>
  </si>
  <si>
    <t>walks from Site A and stops at Shrine of St Patrick for 30 seconds to take a photo. They then move to the Norman Lordship and stop for 30 seconds. They then up towards the New Order/weapons exhibit and stop for 30 seconds. They then move on towards Ireland and Spain image directly from the weapons and stop here for 30 seconds before leaving through Door B.</t>
  </si>
  <si>
    <t>4 stops- 30 seconds at St patricks shrine,30 seconds at the Norman Lordship 30 seconds at the New Order/ weapons, 30 seconds at the Ireland and Spain Image.</t>
  </si>
  <si>
    <t>2 females, 40s and 1 child, girl who was 8</t>
  </si>
  <si>
    <t>Enters from Door B and stops at the phone by the Reformation Text for 1 minute. Then moves past the Red hand corner without looking to the chair by the inauguration site. They stop there for 30 seconds before moving to the New Order/ tiles part where they stop for 30 seconds and then leave through Site A.</t>
  </si>
  <si>
    <t xml:space="preserve">3 stops- 1 minute at the reformation text, 30 second at the chairand 30 seconds at the tile exhibition at the New Order. </t>
  </si>
  <si>
    <t>Mother with small child</t>
  </si>
  <si>
    <t>Enters from Door B before spending 20 seconds stopping around the right side of the inauguration sites. They then move towards the New Order/Weapons area and stop for ten seconds before leaving again without stopping through Side A.</t>
  </si>
  <si>
    <t>2 stops- 20 seconds by inaugration sites and 10 seconds by New Order/weapons exhibit</t>
  </si>
  <si>
    <t>Enters from side A and stops for 1 minute at the Norman Lordship. They then move on past the New order and inauguration site to the Reformation Text. They stop there for one minute. They tehn move towards the Tomb Front and stop there for 30 seconds before leaving through Door B.</t>
  </si>
  <si>
    <t>3 stops- 1 minute at the Norman Lordship, 1 minute at the Reformation Text and 30 seconds at the Tomb Front</t>
  </si>
  <si>
    <t>enters from side A and stops to read the text for 3 minutes to read the exhibits at the European Church. They then move on to the Norman Lordship and stop there for 2 minutes. They then walk past the Inauguration sites and tomb front directly to door b without stopping.</t>
  </si>
  <si>
    <t>2 stops- 3 minutes at european church and 2 minutes at Norman Lordship</t>
  </si>
  <si>
    <t>family - 2 parents and a daughter aged 12</t>
  </si>
  <si>
    <t xml:space="preserve">enters from Side A and spends 1 minute at the Norman Lordship before moving towards the New Order/ weapons area and spending 30 seconds there. They then move to the Reformation Text and spend 30 seconds there before leaving through Door B. </t>
  </si>
  <si>
    <t xml:space="preserve">3 stops- 1 minute at norman lordship, 30 seconds at new order/weapons and 30 seconds at the reformation text </t>
  </si>
  <si>
    <t>female, 30s</t>
  </si>
  <si>
    <t>Entered from side A and stops at Norman Lordship for 1 minute. They then move to the New Order/tiles exhibit for 30 seconds before going past the inauguration site to the Tomb Front for 2 minutes  then leaving.</t>
  </si>
  <si>
    <t>3 stops- 1 minute at the Norman Lordship, 30 seconds at the New Order/tiles and 2 minutes at the Tomb front</t>
  </si>
  <si>
    <t>No time out mentioned, can only assume from stops.</t>
  </si>
  <si>
    <t>man and woman in 30s</t>
  </si>
  <si>
    <t>enters from side A and stops for 30 seconds together at st patricks shrine. They then move past the inauguration site bottom towards the tomb front and stop here for 30 seconds. The woman leaves first through Door B after this. The man stays and goes to to the top side of the inauguration and stops here for 30 seconds before leaving through Door B.</t>
  </si>
  <si>
    <t>3 stops altogether- 30 seconds at the shrine, 30 seconds at the tomb front, 30 seconds at the top side of the inauguration sites</t>
  </si>
  <si>
    <t>Group- 3 adults</t>
  </si>
  <si>
    <t>2 male, 1 female, both in 20s</t>
  </si>
  <si>
    <t xml:space="preserve">Enters from Door B and goes directly to the top side of the inauguration sites where they spend 1 minute here. They then move to the New Order/Weapons area and spend 1 minute here. They spend another minute at the new order/tiles exhibit before splitting up. 1 male and the female spend 1 minute at the chair whilst the other male spends 30 seconds at the ireland and spain image. The female then spends 1 minute at the tomb front whilst the two males spent 1 minute at the norman lordship. Then they all exit through Side A. </t>
  </si>
  <si>
    <t>7 stops - 1 minute at topside of inauguration sites, 1 minute at new order/weapons, 1 minute at the new order/tiles. 1 minute at the chair at inauguration sites , 30 seconds at the Ireland Spain image. 1 minute at the tomb front and 1 minute at the norman lordship.</t>
  </si>
  <si>
    <t>Enters from Side A, spends 30 seconds at the Norman Lordship exhibit before moving towards the Tomb Front and stopping there for 30 seconds. They then exit through Door B.</t>
  </si>
  <si>
    <t>2 stops - 30 seconds at Norman Lordship and 30 seconds at Tomb Front</t>
  </si>
  <si>
    <t>2 females, 20s</t>
  </si>
  <si>
    <t>enters from side A and stops at the bottom side of the inauguration sites for 30 seconds before leaving through door B.</t>
  </si>
  <si>
    <t>1 stop- 30 seconds at the bottom side of the inauguration site.</t>
  </si>
  <si>
    <t>Door B to ?</t>
  </si>
  <si>
    <t>couple, 50s</t>
  </si>
  <si>
    <t xml:space="preserve">Enters from Door B and stops for 1 minute at the Ireland Spain Image. Then moves towards the cooking intruments past the tomb front and stops there for 30 seconds. Then they move up past the New Order towards the Red Hand corner and stop there for 30 seconds. </t>
  </si>
  <si>
    <t>3 stops - 1 minute at Ireland Spain Image, 30 seconds at the Cooking Instruments and then 30 seconds at the Red Hand corner.</t>
  </si>
  <si>
    <t>unsure where they exited.</t>
  </si>
  <si>
    <t>date</t>
  </si>
  <si>
    <t>time_in</t>
  </si>
  <si>
    <t>time_out</t>
  </si>
  <si>
    <t>observer_initials</t>
  </si>
  <si>
    <t>map_zone</t>
  </si>
  <si>
    <t>direction</t>
  </si>
  <si>
    <t>visitor_cat</t>
  </si>
  <si>
    <t>gender_age</t>
  </si>
  <si>
    <t>with_children</t>
  </si>
  <si>
    <t>route_pattern</t>
  </si>
  <si>
    <t>engagement_points</t>
  </si>
  <si>
    <t>behavioural_notes</t>
  </si>
  <si>
    <t>dwell_time</t>
  </si>
  <si>
    <t>a to b</t>
  </si>
  <si>
    <t>individual</t>
  </si>
  <si>
    <t>True</t>
  </si>
  <si>
    <t>False</t>
  </si>
  <si>
    <t>b to a</t>
  </si>
  <si>
    <t>b to b</t>
  </si>
  <si>
    <t>CL</t>
  </si>
  <si>
    <t>a</t>
  </si>
  <si>
    <t>5 school girls, age 15</t>
  </si>
  <si>
    <t>Door A, straight through via arts &amp; crafts</t>
  </si>
  <si>
    <t>woman in 50s</t>
  </si>
  <si>
    <t>Door B, viking cases, kingship &amp; social, cloak interactive, arts &amp; crafts cases</t>
  </si>
  <si>
    <t>No engagement recorded</t>
  </si>
  <si>
    <t>Walked through briefly glancing at displays</t>
  </si>
  <si>
    <t>2 men, 3 women, 30s &amp; 50s</t>
  </si>
  <si>
    <t>Group split</t>
  </si>
  <si>
    <t>Door A</t>
  </si>
  <si>
    <t>Door B</t>
  </si>
  <si>
    <t>viking cases</t>
  </si>
  <si>
    <t>kingship &amp; social</t>
  </si>
  <si>
    <t>cloak interactive</t>
  </si>
  <si>
    <t>arts &amp; crafts cases</t>
  </si>
  <si>
    <t>established church</t>
  </si>
  <si>
    <t>Door B, viking cases (30s), established church, cloak interactive, arts &amp; crafts cases (30s), kingship &amp; social (1min)</t>
  </si>
  <si>
    <t>man &amp; woman, 40s</t>
  </si>
  <si>
    <t>rotary stones</t>
  </si>
  <si>
    <t>Door B, established church, cloak interactive, arts &amp; crafts cases, rotary stones (30s), viking cases (1min), established church, cloak interactive, arts &amp; crafts cases (30s)</t>
  </si>
  <si>
    <t>Returned with partner</t>
  </si>
  <si>
    <t>I</t>
  </si>
  <si>
    <t>Intersection</t>
  </si>
  <si>
    <t>murlough hoard</t>
  </si>
  <si>
    <t>clonmore shrine</t>
  </si>
  <si>
    <t>c</t>
  </si>
  <si>
    <t>room</t>
  </si>
  <si>
    <t>subsistence</t>
  </si>
  <si>
    <t>bell</t>
  </si>
  <si>
    <t>code</t>
  </si>
  <si>
    <t>point</t>
  </si>
  <si>
    <t>ireland spain image</t>
  </si>
  <si>
    <t>tomb front</t>
  </si>
  <si>
    <t>quern</t>
  </si>
  <si>
    <t>inauguration sites</t>
  </si>
  <si>
    <t>norman lordship</t>
  </si>
  <si>
    <t>european church</t>
  </si>
  <si>
    <t>shrine of st patrick</t>
  </si>
  <si>
    <t>floor tile pattern interactive</t>
  </si>
  <si>
    <t>reformation text</t>
  </si>
  <si>
    <t>signet ring</t>
  </si>
  <si>
    <t>red hand text</t>
  </si>
  <si>
    <t>sword and scabbard</t>
  </si>
  <si>
    <t>new order</t>
  </si>
  <si>
    <t>route</t>
  </si>
  <si>
    <t>description</t>
  </si>
  <si>
    <t>b</t>
  </si>
  <si>
    <t>d</t>
  </si>
  <si>
    <t>start</t>
  </si>
  <si>
    <t>end</t>
  </si>
  <si>
    <t>via</t>
  </si>
  <si>
    <t>intersection</t>
  </si>
  <si>
    <t>sword scabbard</t>
  </si>
  <si>
    <t>point_codes</t>
  </si>
  <si>
    <t>A-a</t>
  </si>
  <si>
    <t>A-7; A-6; A-5; A-4; A-3; A-10; A-7; A-6; A-5; A-4</t>
  </si>
  <si>
    <t>A-d; A-a</t>
  </si>
  <si>
    <t>A-c; A-b</t>
  </si>
  <si>
    <t>A-d; A-c</t>
  </si>
  <si>
    <t>A-10; A-5</t>
  </si>
  <si>
    <t>woman 40s</t>
  </si>
  <si>
    <t>Walked quickly through gallery without stopping, glancing briefly at displays</t>
  </si>
  <si>
    <t>A-c; A-d</t>
  </si>
  <si>
    <t>A-5; A-10; A-4</t>
  </si>
  <si>
    <t>A-c</t>
  </si>
  <si>
    <t>Walked through glancing briefly at displays without stopping</t>
  </si>
  <si>
    <t>Walkthrough</t>
  </si>
  <si>
    <t>Minimal engagement</t>
  </si>
  <si>
    <t>Scan</t>
  </si>
  <si>
    <t>Full engagement (30s+)</t>
  </si>
  <si>
    <t>2 men, 1 woman, 20s</t>
  </si>
  <si>
    <t>school girls 13</t>
  </si>
  <si>
    <t>A-a; A-d; A-b</t>
  </si>
  <si>
    <t>A-8; A-4; A-7; A-9; A-10</t>
  </si>
  <si>
    <t>Stopping 30s-1min at each, taking photos</t>
  </si>
  <si>
    <t>school</t>
  </si>
  <si>
    <t>A-2; A-4; A-7</t>
  </si>
  <si>
    <t>1 boy stopped to take pics - reset strolled through</t>
  </si>
  <si>
    <t>6 boys, 2 girls; age 14</t>
  </si>
  <si>
    <t>2 males; 20s &amp; 40s</t>
  </si>
  <si>
    <t>initial_route</t>
  </si>
  <si>
    <t>initial_point</t>
  </si>
  <si>
    <t>A-2; A-3; A-4; A-7; A-10; B-7</t>
  </si>
  <si>
    <t>Stopping 30s-1min at each</t>
  </si>
  <si>
    <t>engagement_level</t>
  </si>
  <si>
    <t>full</t>
  </si>
  <si>
    <t>partial</t>
  </si>
  <si>
    <t>none</t>
  </si>
  <si>
    <t>2 men; 30s</t>
  </si>
  <si>
    <t>Accompanied by staff</t>
  </si>
  <si>
    <t>A-d</t>
  </si>
  <si>
    <t>A-10; A-8; A-2</t>
  </si>
  <si>
    <t>male; 30s</t>
  </si>
  <si>
    <t>using gallery as a thoroughfare</t>
  </si>
  <si>
    <t>males; 16</t>
  </si>
  <si>
    <t>B-7</t>
  </si>
  <si>
    <t>B-7; A-7; A-4</t>
  </si>
  <si>
    <t>A-7; A-4; A-3</t>
  </si>
  <si>
    <t>walked slowly through glancing briefly at displays without stopping</t>
  </si>
  <si>
    <t>4 males, 2 girls; 16</t>
  </si>
  <si>
    <t>A-10; A-9; A-5; A-4</t>
  </si>
  <si>
    <t>man, woman; 20s</t>
  </si>
  <si>
    <t>difficulty with broach</t>
  </si>
  <si>
    <t>route_codes</t>
  </si>
  <si>
    <t>A-a; A-c</t>
  </si>
  <si>
    <t>A-1; A-3; A-4; A-6; A-9; A-10</t>
  </si>
  <si>
    <t>B-a</t>
  </si>
  <si>
    <t>Passing through did not engage or look at any displays</t>
  </si>
  <si>
    <t>man, woman; 50s</t>
  </si>
  <si>
    <t>B-b</t>
  </si>
  <si>
    <t>B-4; B-3; B-7</t>
  </si>
  <si>
    <t>2 teenage boys; 13</t>
  </si>
  <si>
    <t>B-9</t>
  </si>
  <si>
    <t>male; 40s</t>
  </si>
  <si>
    <t>B-d; B-a</t>
  </si>
  <si>
    <t>Loop - returned to area A</t>
  </si>
  <si>
    <t>B-d</t>
  </si>
  <si>
    <t>B-5</t>
  </si>
  <si>
    <t>school girls; 14</t>
  </si>
  <si>
    <t>a to a</t>
  </si>
  <si>
    <t>Change side A to intersection</t>
  </si>
  <si>
    <t>Keep school group</t>
  </si>
  <si>
    <t>Ask madre about unknown engagement = unknown or none?</t>
  </si>
  <si>
    <t>If engagement points are 1, but 30s still counting as full engagement?</t>
  </si>
  <si>
    <t>observer_notes</t>
  </si>
  <si>
    <t>A-b</t>
  </si>
  <si>
    <t>A-10</t>
  </si>
  <si>
    <t>A-10; A-3; A-6</t>
  </si>
  <si>
    <t>A-4</t>
  </si>
  <si>
    <t>A-1; A-4; A-6; A-9; B-7</t>
  </si>
  <si>
    <t>A-b; A-d</t>
  </si>
  <si>
    <t>A-1; A-3; A-8; A-5; A-4; A-6; A-9; A-7; A-10</t>
  </si>
  <si>
    <t>A-6</t>
  </si>
  <si>
    <t>A-a; A-d</t>
  </si>
  <si>
    <t>A-5; 10</t>
  </si>
  <si>
    <t>B-7; A-4; A-3</t>
  </si>
  <si>
    <t>A-3; A-4</t>
  </si>
  <si>
    <t>A-7</t>
  </si>
  <si>
    <t>A-8</t>
  </si>
  <si>
    <t>A-10; A-7; A-5; A-4</t>
  </si>
  <si>
    <t>A-10; A-4; A-1</t>
  </si>
  <si>
    <t>A-9; A-4; A-3; A-2</t>
  </si>
  <si>
    <t>6 STOPS - 60 seconds at the first arts and craft case, 120 seconds reading the vikings text, 120 minutes looking at the vikings cases 1, 2 and 3, 30 seconds spent at Ballyclog bell, 60 seconds spent looking at the altar stone, 30 seconds reading information on the european churchA</t>
  </si>
  <si>
    <t>A-4; A-10; A-9; A-7</t>
  </si>
  <si>
    <t>A-5; A-4</t>
  </si>
  <si>
    <t>A-7; A-4; A-2; A-1</t>
  </si>
  <si>
    <t>A-3</t>
  </si>
  <si>
    <t>A-9; A-7; A-4</t>
  </si>
  <si>
    <t>A-2</t>
  </si>
  <si>
    <t>A-3; B-7</t>
  </si>
  <si>
    <t>A-2; A-4; B-7</t>
  </si>
  <si>
    <t>A-3; A-6; A-7</t>
  </si>
  <si>
    <t>A-3; A-4; A-7; A-10; B-7</t>
  </si>
  <si>
    <t>B-7; A-4; A-8</t>
  </si>
  <si>
    <t>A-7; A-10; A-5; A-3</t>
  </si>
  <si>
    <t>A-3; A-4; A-7</t>
  </si>
  <si>
    <t>A-3; A-9</t>
  </si>
  <si>
    <t>A-3; A-9; B-7</t>
  </si>
  <si>
    <t>B-7; A-10; A-4; A-7; A-3; A-1</t>
  </si>
  <si>
    <t>A-4; A-7; A-10; B-7</t>
  </si>
  <si>
    <t>A-4; A-3; A-9; A-10; B-7</t>
  </si>
  <si>
    <t>A-9</t>
  </si>
  <si>
    <t>A-7; A-3</t>
  </si>
  <si>
    <t>A-7; A-6; A-4; A-8; A-3</t>
  </si>
  <si>
    <t>A-1; A-4; A-7; A-9; A-10; B-7</t>
  </si>
  <si>
    <t>A-3; A-9; A-10; B-7</t>
  </si>
  <si>
    <t>A-5; A-2</t>
  </si>
  <si>
    <t>A-b; A-a</t>
  </si>
  <si>
    <t>A-8; A-6; A-9; A-10; B-7</t>
  </si>
  <si>
    <t>A-6; A-5; A-4; A-10; A-9</t>
  </si>
  <si>
    <t>A-6; A-1</t>
  </si>
  <si>
    <t>B-7; A-4; A-10; A-8</t>
  </si>
  <si>
    <t>A-10; A-9; A-5</t>
  </si>
  <si>
    <t>B-7; A-7; A-4; A-3</t>
  </si>
  <si>
    <t>B-7; A-7; A-10; A-3; A-2</t>
  </si>
  <si>
    <t>A-3; A-7; A-10; B-7</t>
  </si>
  <si>
    <t>A-8; A-6; A-10; B-7</t>
  </si>
  <si>
    <t>A-10; A-4; A-5; A-6</t>
  </si>
  <si>
    <t>B-4; B-11; B-13; B-5; B-6</t>
  </si>
  <si>
    <t>B-4; B-9</t>
  </si>
  <si>
    <t>B-3</t>
  </si>
  <si>
    <t>B-13</t>
  </si>
  <si>
    <t>B-4; B-7</t>
  </si>
  <si>
    <t>B-9; B-10; B-11; B-12; B-13; B-4; B-3; B-2; B-5; B-7; B-6</t>
  </si>
  <si>
    <t>no_points</t>
  </si>
  <si>
    <t>B-14</t>
  </si>
  <si>
    <t>interactive phone</t>
  </si>
  <si>
    <t>B-3; B-2</t>
  </si>
  <si>
    <t>B-3; B-2; B-1</t>
  </si>
  <si>
    <t>B-4</t>
  </si>
  <si>
    <t>B-13; B-11; B-9</t>
  </si>
  <si>
    <t>N/A</t>
  </si>
  <si>
    <t>B-c</t>
  </si>
  <si>
    <t>B-7; B-3; B-2</t>
  </si>
  <si>
    <t>B-9; B-13</t>
  </si>
  <si>
    <t>B-9; B-4; B-7</t>
  </si>
  <si>
    <t>B-4; B-3; B-2; B-7</t>
  </si>
  <si>
    <t>B-4; B-1</t>
  </si>
  <si>
    <t>B-5; B-12; B-11; B-9</t>
  </si>
  <si>
    <t>B-7; B-5; B-11; B-9</t>
  </si>
  <si>
    <t>B-11; B-9; B-3; B-2</t>
  </si>
  <si>
    <t>B-3; B-2; B-5</t>
  </si>
  <si>
    <t>B-11; B-3; B-2</t>
  </si>
  <si>
    <t>B-5; B-6</t>
  </si>
  <si>
    <t>B-7; B-10</t>
  </si>
  <si>
    <t>B-5; B-4; B-12</t>
  </si>
  <si>
    <t>B-7; B-5; B-13</t>
  </si>
  <si>
    <t>B-13; B-4; B-11; B-10; B-9;</t>
  </si>
  <si>
    <t>B-5; B-1</t>
  </si>
  <si>
    <t>B-9;  B-13; B-4</t>
  </si>
  <si>
    <t>B-10; B-13; B-5</t>
  </si>
  <si>
    <t>B-6; B-11; B-3</t>
  </si>
  <si>
    <t>B-3; B-5; B-6</t>
  </si>
  <si>
    <t>B-d; B-c</t>
  </si>
  <si>
    <t>B-5; B-13; B-4; B-12; B-11; B-9; B-1; B-2</t>
  </si>
  <si>
    <t>B-11; B-10; B-1</t>
  </si>
  <si>
    <t>B-13; B-12; B-3; B-4</t>
  </si>
  <si>
    <t>B-7; B-4; B13</t>
  </si>
  <si>
    <t>B-9; B-4; B-5</t>
  </si>
  <si>
    <t>B-13; B-12</t>
  </si>
  <si>
    <t>B-5; B-13; B-9</t>
  </si>
  <si>
    <t>B-5; B-4; B-9</t>
  </si>
  <si>
    <t>B-7; B-6; B-1</t>
  </si>
  <si>
    <t>B-a; B-b</t>
  </si>
  <si>
    <t>B-1; B-9; B-11; B-4; B-13; B-3</t>
  </si>
  <si>
    <t>B-2; B-4</t>
  </si>
  <si>
    <t>B-7; B-9; B-14</t>
  </si>
  <si>
    <t>B-c; B-b</t>
  </si>
  <si>
    <t>B-5; B-3; B-4; B-12; B-11; B-9</t>
  </si>
  <si>
    <t>B-4; B-13; B-12</t>
  </si>
  <si>
    <t>B-4; B-13; B-12; B-1</t>
  </si>
  <si>
    <t>B-4; B-9; B-1</t>
  </si>
  <si>
    <t>B-1; B-13; B-12; B-5</t>
  </si>
  <si>
    <t>B-3; B-13; B-12</t>
  </si>
  <si>
    <t>B-9; B-13; B-12; B-5; B-7; B-6</t>
  </si>
  <si>
    <t>B-5; B-4; B-11;</t>
  </si>
  <si>
    <t>B-7; B-13; B-4</t>
  </si>
  <si>
    <t>B-5; B-4</t>
  </si>
  <si>
    <t>B-9; B-11; B-13; B-12; B-4</t>
  </si>
  <si>
    <t>B-4;  B-3</t>
  </si>
  <si>
    <t>B-13; B-12; B-11; B-9; B-1</t>
  </si>
  <si>
    <t>B-4;  B-5</t>
  </si>
  <si>
    <t>B-7; B-5; B-13; B-12; B-1</t>
  </si>
  <si>
    <t>B-14; B-9; B-4; B-13</t>
  </si>
  <si>
    <t>B-5;  B-9; B-3</t>
  </si>
  <si>
    <t>B-6; B-5</t>
  </si>
  <si>
    <t>B-5;  B-13; B-12; B-9</t>
  </si>
  <si>
    <t>B-5; B-13; B-3</t>
  </si>
  <si>
    <t>B-7; B-3; B-4</t>
  </si>
  <si>
    <t>B-4; B-13; B-12; B-13; B-1; B-3; B-5</t>
  </si>
  <si>
    <t>B-5;  B-3</t>
  </si>
  <si>
    <t>B-a; B-d</t>
  </si>
  <si>
    <t>B-1; B-11</t>
  </si>
  <si>
    <t>entry_point</t>
  </si>
  <si>
    <t>A-5</t>
  </si>
  <si>
    <t>A-1</t>
  </si>
  <si>
    <t xml:space="preserve"> B-6</t>
  </si>
  <si>
    <t>B-11</t>
  </si>
  <si>
    <t>B-10</t>
  </si>
  <si>
    <t>B-6</t>
  </si>
  <si>
    <t>B-1</t>
  </si>
  <si>
    <t>B-2</t>
  </si>
  <si>
    <t>I-0</t>
  </si>
  <si>
    <t>A-0</t>
  </si>
  <si>
    <t>B-0</t>
  </si>
  <si>
    <t>B-8</t>
  </si>
  <si>
    <t>B-12</t>
  </si>
  <si>
    <t>Code</t>
  </si>
  <si>
    <t>Count Total</t>
  </si>
  <si>
    <t>Count First</t>
  </si>
  <si>
    <t>B13</t>
  </si>
  <si>
    <t>Give each a corrdinate</t>
  </si>
  <si>
    <t>General route numbers</t>
  </si>
  <si>
    <t>Line from each coord - each line will be from the starting point 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</si>
</sst>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d\.hh:mm:ss"/>
  </numFmts>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16"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Alignment="1">
      <alignment horizontal="center"/>
    </xf>
    <xf numFmtId="0" fontId="0" fillId="2" borderId="0" xfId="0" applyFill="1"/>
    <xf numFmtId="164" fontId="0" fillId="2" borderId="0" xfId="0" applyNumberFormat="1" applyFill="1"/>
    <xf numFmtId="0" fontId="0" fillId="2" borderId="0" xfId="0" applyFill="1" applyAlignment="1">
      <alignment horizontal="center"/>
    </xf>
  </cellXfs>
  <cellStyles count="1">
    <cellStyle name="Normal" xfId="0" builtinId="0"/>
  </cellStyles>
  <dxfs count="51">
    <dxf>
      <numFmt numFmtId="0" formatCode="General"/>
    </dxf>
    <dxf>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4" formatCode="[$-F400]h:mm:ss\ AM/PM"/>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dxf>
    <dxf>
      <numFmt numFmtId="164" formatCode="[$-F400]h:mm:ss\ AM/PM"/>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165" formatCode="d\.h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Sheet1!$N$2</c:f>
              <c:strCache>
                <c:ptCount val="1"/>
                <c:pt idx="0">
                  <c:v>Count Total</c:v>
                </c:pt>
              </c:strCache>
            </c:strRef>
          </c:tx>
          <c:spPr>
            <a:solidFill>
              <a:schemeClr val="accent1"/>
            </a:solidFill>
            <a:ln>
              <a:noFill/>
            </a:ln>
            <a:effectLst/>
          </c:spPr>
          <c:invertIfNegative val="0"/>
          <c:cat>
            <c:strRef>
              <c:f>Sheet1!$M$3:$M$24</c:f>
              <c:strCache>
                <c:ptCount val="22"/>
                <c:pt idx="0">
                  <c:v>B-7</c:v>
                </c:pt>
                <c:pt idx="1">
                  <c:v>A-4</c:v>
                </c:pt>
                <c:pt idx="2">
                  <c:v>B-4</c:v>
                </c:pt>
                <c:pt idx="3">
                  <c:v>A-10</c:v>
                </c:pt>
                <c:pt idx="4">
                  <c:v>B-5</c:v>
                </c:pt>
                <c:pt idx="5">
                  <c:v>A-3</c:v>
                </c:pt>
                <c:pt idx="6">
                  <c:v>A-7</c:v>
                </c:pt>
                <c:pt idx="7">
                  <c:v>B-13</c:v>
                </c:pt>
                <c:pt idx="8">
                  <c:v>B-9</c:v>
                </c:pt>
                <c:pt idx="9">
                  <c:v>B-3</c:v>
                </c:pt>
                <c:pt idx="10">
                  <c:v>A-9</c:v>
                </c:pt>
                <c:pt idx="11">
                  <c:v>B-11</c:v>
                </c:pt>
                <c:pt idx="12">
                  <c:v>B-12</c:v>
                </c:pt>
                <c:pt idx="13">
                  <c:v>A-6</c:v>
                </c:pt>
                <c:pt idx="14">
                  <c:v>A-5</c:v>
                </c:pt>
                <c:pt idx="15">
                  <c:v>B-1</c:v>
                </c:pt>
                <c:pt idx="16">
                  <c:v>B-2</c:v>
                </c:pt>
                <c:pt idx="17">
                  <c:v>A-2</c:v>
                </c:pt>
                <c:pt idx="18">
                  <c:v>A-1</c:v>
                </c:pt>
                <c:pt idx="19">
                  <c:v>A-8</c:v>
                </c:pt>
                <c:pt idx="20">
                  <c:v>B-6</c:v>
                </c:pt>
                <c:pt idx="21">
                  <c:v>B-10</c:v>
                </c:pt>
              </c:strCache>
            </c:strRef>
          </c:cat>
          <c:val>
            <c:numRef>
              <c:f>Sheet1!$N$3:$N$24</c:f>
              <c:numCache>
                <c:formatCode>General</c:formatCode>
                <c:ptCount val="22"/>
                <c:pt idx="0">
                  <c:v>47</c:v>
                </c:pt>
                <c:pt idx="1">
                  <c:v>45</c:v>
                </c:pt>
                <c:pt idx="2">
                  <c:v>42</c:v>
                </c:pt>
                <c:pt idx="3">
                  <c:v>34</c:v>
                </c:pt>
                <c:pt idx="4">
                  <c:v>33</c:v>
                </c:pt>
                <c:pt idx="5">
                  <c:v>33</c:v>
                </c:pt>
                <c:pt idx="6">
                  <c:v>31</c:v>
                </c:pt>
                <c:pt idx="7">
                  <c:v>31</c:v>
                </c:pt>
                <c:pt idx="8">
                  <c:v>30</c:v>
                </c:pt>
                <c:pt idx="9">
                  <c:v>25</c:v>
                </c:pt>
                <c:pt idx="10">
                  <c:v>19</c:v>
                </c:pt>
                <c:pt idx="11">
                  <c:v>19</c:v>
                </c:pt>
                <c:pt idx="12">
                  <c:v>17</c:v>
                </c:pt>
                <c:pt idx="13">
                  <c:v>16</c:v>
                </c:pt>
                <c:pt idx="14">
                  <c:v>14</c:v>
                </c:pt>
                <c:pt idx="15">
                  <c:v>14</c:v>
                </c:pt>
                <c:pt idx="16">
                  <c:v>12</c:v>
                </c:pt>
                <c:pt idx="17">
                  <c:v>10</c:v>
                </c:pt>
                <c:pt idx="18">
                  <c:v>9</c:v>
                </c:pt>
                <c:pt idx="19">
                  <c:v>9</c:v>
                </c:pt>
                <c:pt idx="20">
                  <c:v>7</c:v>
                </c:pt>
                <c:pt idx="21">
                  <c:v>5</c:v>
                </c:pt>
              </c:numCache>
            </c:numRef>
          </c:val>
          <c:extLst>
            <c:ext xmlns:c16="http://schemas.microsoft.com/office/drawing/2014/chart" uri="{C3380CC4-5D6E-409C-BE32-E72D297353CC}">
              <c16:uniqueId val="{00000000-C50A-4D93-9EBC-B8B3BF7D128C}"/>
            </c:ext>
          </c:extLst>
        </c:ser>
        <c:dLbls>
          <c:showLegendKey val="0"/>
          <c:showVal val="0"/>
          <c:showCatName val="0"/>
          <c:showSerName val="0"/>
          <c:showPercent val="0"/>
          <c:showBubbleSize val="0"/>
        </c:dLbls>
        <c:gapWidth val="219"/>
        <c:overlap val="-27"/>
        <c:axId val="489216128"/>
        <c:axId val="489222848"/>
      </c:barChart>
      <c:catAx>
        <c:axId val="48921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222848"/>
        <c:crosses val="autoZero"/>
        <c:auto val="1"/>
        <c:lblAlgn val="ctr"/>
        <c:lblOffset val="100"/>
        <c:noMultiLvlLbl val="0"/>
      </c:catAx>
      <c:valAx>
        <c:axId val="48922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216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213360</xdr:colOff>
      <xdr:row>6</xdr:row>
      <xdr:rowOff>140970</xdr:rowOff>
    </xdr:from>
    <xdr:to>
      <xdr:col>23</xdr:col>
      <xdr:colOff>518160</xdr:colOff>
      <xdr:row>21</xdr:row>
      <xdr:rowOff>140970</xdr:rowOff>
    </xdr:to>
    <xdr:graphicFrame macro="">
      <xdr:nvGraphicFramePr>
        <xdr:cNvPr id="2" name="Chart 1">
          <a:extLst>
            <a:ext uri="{FF2B5EF4-FFF2-40B4-BE49-F238E27FC236}">
              <a16:creationId xmlns:a16="http://schemas.microsoft.com/office/drawing/2014/main" id="{8548BBB2-3BB2-BF32-BA5D-93E1DD0F43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AD727D45-DB54-49F6-9D8E-74DEC41B0CCA}" autoFormatId="16" applyNumberFormats="0" applyBorderFormats="0" applyFontFormats="0" applyPatternFormats="0" applyAlignmentFormats="0" applyWidthHeightFormats="0">
  <queryTableRefresh nextId="14">
    <queryTableFields count="13">
      <queryTableField id="1" name="date" tableColumnId="1"/>
      <queryTableField id="2" name="time_in" tableColumnId="2"/>
      <queryTableField id="3" name="time_out" tableColumnId="3"/>
      <queryTableField id="4" name="observer_initials" tableColumnId="4"/>
      <queryTableField id="5" name="map_zone" tableColumnId="5"/>
      <queryTableField id="6" name="direction" tableColumnId="6"/>
      <queryTableField id="7" name="visitor_cat" tableColumnId="7"/>
      <queryTableField id="8" name="gender_age" tableColumnId="8"/>
      <queryTableField id="9" name="with_children" tableColumnId="9"/>
      <queryTableField id="10" name="route_pattern" tableColumnId="10"/>
      <queryTableField id="11" name="engagement_points" tableColumnId="11"/>
      <queryTableField id="12" name="behavioural_notes" tableColumnId="12"/>
      <queryTableField id="13" name="dwell_tim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B0C8CFC7-88D0-40D3-9328-96E4ADB874C6}" autoFormatId="16" applyNumberFormats="0" applyBorderFormats="0" applyFontFormats="0" applyPatternFormats="0" applyAlignmentFormats="0" applyWidthHeightFormats="0">
  <queryTableRefresh nextId="14">
    <queryTableFields count="13">
      <queryTableField id="1" name="Date" tableColumnId="1"/>
      <queryTableField id="2" name="Time In" tableColumnId="2"/>
      <queryTableField id="3" name="Time Out" tableColumnId="3"/>
      <queryTableField id="4" name="Observer Initials" tableColumnId="4"/>
      <queryTableField id="5" name="Map Zone (A/B)" tableColumnId="5"/>
      <queryTableField id="6" name="Direction" tableColumnId="6"/>
      <queryTableField id="7" name="Visitor Type (Individual/Pair/Group/School)" tableColumnId="7"/>
      <queryTableField id="8" name="Gender/Age (if noted)" tableColumnId="8"/>
      <queryTableField id="9" name="With/Without Children" tableColumnId="9"/>
      <queryTableField id="10" name="Route Pattern (Door A/B/Through-route)" tableColumnId="10"/>
      <queryTableField id="11" name="Stops/Engagement Points" tableColumnId="11"/>
      <queryTableField id="12" name="Dwell Time (secs/mins)" tableColumnId="12"/>
      <queryTableField id="13" name="Behavioural Observations/notes/comments"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4139937C-1451-4D89-922A-688C5C50C288}" autoFormatId="16" applyNumberFormats="0" applyBorderFormats="0" applyFontFormats="0" applyPatternFormats="0" applyAlignmentFormats="0" applyWidthHeightFormats="0">
  <queryTableRefresh nextId="16">
    <queryTableFields count="15">
      <queryTableField id="1" name="Date" tableColumnId="1"/>
      <queryTableField id="2" name="Time In" tableColumnId="2"/>
      <queryTableField id="3" name="Time Out" tableColumnId="3"/>
      <queryTableField id="4" name="Observer Initials" tableColumnId="4"/>
      <queryTableField id="5" name="Map Zone (A/B)" tableColumnId="5"/>
      <queryTableField id="6" name="Direction" tableColumnId="6"/>
      <queryTableField id="7" name="Visitor Type (Individual/Pair/Group/School)" tableColumnId="7"/>
      <queryTableField id="8" name="Gender/Age (if noted)" tableColumnId="8"/>
      <queryTableField id="9" name="With/Without Children" tableColumnId="9"/>
      <queryTableField id="10" name="Route Pattern (Door A/B/Through-route)" tableColumnId="10"/>
      <queryTableField id="11" name="Stops/Engagement Points" tableColumnId="11"/>
      <queryTableField id="12" name="Dwell Time (secs/mins)" tableColumnId="12"/>
      <queryTableField id="13" name="Behavioural Observations/notes/comments" tableColumnId="13"/>
      <queryTableField id="14" name="Visitor Comments" tableColumnId="14"/>
      <queryTableField id="15" name="Observer Notes"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E62114-8C6A-460A-88E1-A80101AB7138}" name="Combined" displayName="Combined" ref="A1:M226" tableType="queryTable" totalsRowShown="0">
  <autoFilter ref="A1:M226" xr:uid="{F4E62114-8C6A-460A-88E1-A80101AB7138}"/>
  <tableColumns count="13">
    <tableColumn id="1" xr3:uid="{8F7F5850-9601-44B6-A57B-75881120257B}" uniqueName="1" name="date" queryTableFieldId="1" dataDxfId="50"/>
    <tableColumn id="2" xr3:uid="{1CD046A9-D1CB-4106-A979-E9A417CDA685}" uniqueName="2" name="time_in" queryTableFieldId="2" dataDxfId="49"/>
    <tableColumn id="3" xr3:uid="{B28E05F2-86CE-412D-81EC-E007DC677E9B}" uniqueName="3" name="time_out" queryTableFieldId="3" dataDxfId="48"/>
    <tableColumn id="4" xr3:uid="{C3E02EAA-BCDD-43A5-98E9-2B49E0734C9E}" uniqueName="4" name="observer_initials" queryTableFieldId="4" dataDxfId="47"/>
    <tableColumn id="5" xr3:uid="{B5ADA680-9E3F-4049-A54B-F610F931548C}" uniqueName="5" name="map_zone" queryTableFieldId="5" dataDxfId="46"/>
    <tableColumn id="6" xr3:uid="{8B1371A8-5B43-4D1C-AD25-8A7ECFBBB9C3}" uniqueName="6" name="direction" queryTableFieldId="6" dataDxfId="45"/>
    <tableColumn id="7" xr3:uid="{08A72D0F-057C-4515-B988-9F7A58B9D235}" uniqueName="7" name="visitor_cat" queryTableFieldId="7" dataDxfId="44"/>
    <tableColumn id="8" xr3:uid="{CA9B416C-00B0-41A8-9DAF-297E7C2A2629}" uniqueName="8" name="gender_age" queryTableFieldId="8" dataDxfId="43"/>
    <tableColumn id="9" xr3:uid="{B2286E31-AF76-463F-9D7F-ED19C279CFD2}" uniqueName="9" name="with_children" queryTableFieldId="9"/>
    <tableColumn id="10" xr3:uid="{391D70D3-FB09-4F3D-9721-B621975B957C}" uniqueName="10" name="route_pattern" queryTableFieldId="10" dataDxfId="42"/>
    <tableColumn id="11" xr3:uid="{20AA473F-78D0-4FEC-A839-A9798AB132F4}" uniqueName="11" name="engagement_points" queryTableFieldId="11" dataDxfId="41"/>
    <tableColumn id="12" xr3:uid="{8FBD19DB-C8D9-4E11-A4B5-C6D4D62CC2EC}" uniqueName="12" name="behavioural_notes" queryTableFieldId="12" dataDxfId="40"/>
    <tableColumn id="13" xr3:uid="{293A1097-75D9-4C10-87F2-95B5E1E92F92}" uniqueName="13" name="dwell_time" queryTableFieldId="13" dataDxfId="3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BC04D0-4728-430D-BF2B-B0196CF5C15A}" name="Map_B" displayName="Map_B" ref="A1:M116" tableType="queryTable" totalsRowShown="0">
  <autoFilter ref="A1:M116" xr:uid="{18BC04D0-4728-430D-BF2B-B0196CF5C15A}"/>
  <tableColumns count="13">
    <tableColumn id="1" xr3:uid="{23CF49BE-AAC5-4947-B2B9-21B30D3059A7}" uniqueName="1" name="Date" queryTableFieldId="1"/>
    <tableColumn id="2" xr3:uid="{7E0884FF-8135-49A2-8CF4-75B0078B48C2}" uniqueName="2" name="Time In" queryTableFieldId="2" dataDxfId="38"/>
    <tableColumn id="3" xr3:uid="{6D74400F-7ADB-49B5-8E4E-301D9646D954}" uniqueName="3" name="Time Out" queryTableFieldId="3" dataDxfId="37"/>
    <tableColumn id="4" xr3:uid="{D28CB740-AEAF-4F6C-BEB8-35C48EF284AD}" uniqueName="4" name="Observer Initials" queryTableFieldId="4" dataDxfId="36"/>
    <tableColumn id="5" xr3:uid="{016EC619-3363-440B-9385-56215AD85D8C}" uniqueName="5" name="Map Zone (A/B)" queryTableFieldId="5" dataDxfId="35"/>
    <tableColumn id="6" xr3:uid="{402FE98C-CC4D-4A15-972B-1EBC24172513}" uniqueName="6" name="Direction" queryTableFieldId="6" dataDxfId="34"/>
    <tableColumn id="7" xr3:uid="{C5D34A34-D237-4986-B5CF-766879F6245C}" uniqueName="7" name="Visitor Type (Individual/Pair/Group/School)" queryTableFieldId="7" dataDxfId="33"/>
    <tableColumn id="8" xr3:uid="{E748181A-F488-4AD3-A4E2-E5E01453F062}" uniqueName="8" name="Gender/Age (if noted)" queryTableFieldId="8" dataDxfId="32"/>
    <tableColumn id="9" xr3:uid="{3C6E25DD-4CC8-40D8-B2AB-0E8353126BF5}" uniqueName="9" name="With/Without Children" queryTableFieldId="9" dataDxfId="31"/>
    <tableColumn id="10" xr3:uid="{8DABA20A-619C-4465-BC72-D52CD423140C}" uniqueName="10" name="Route Pattern (Door A/B/Through-route)" queryTableFieldId="10" dataDxfId="30"/>
    <tableColumn id="11" xr3:uid="{4AE2F600-F451-40BC-A39C-29CA6FC6B76C}" uniqueName="11" name="Stops/Engagement Points" queryTableFieldId="11" dataDxfId="29"/>
    <tableColumn id="12" xr3:uid="{18B03ED2-599E-416A-A239-C81DF453ADBC}" uniqueName="12" name="Dwell Time (secs/mins)" queryTableFieldId="12"/>
    <tableColumn id="13" xr3:uid="{9EE8E27B-BC43-4527-8CD5-68045A7588B4}" uniqueName="13" name="Behavioural Observations/notes/comments" queryTableFieldId="13" dataDxf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95039A-F31C-410D-A566-FC5E05E4A65B}" name="Map_A___og" displayName="Map_A___og" ref="A1:O111" tableType="queryTable" totalsRowShown="0">
  <autoFilter ref="A1:O111" xr:uid="{F995039A-F31C-410D-A566-FC5E05E4A65B}"/>
  <tableColumns count="15">
    <tableColumn id="1" xr3:uid="{FF587091-4741-43F7-AD23-88D6F9F8F4E3}" uniqueName="1" name="Date" queryTableFieldId="1" dataDxfId="27"/>
    <tableColumn id="2" xr3:uid="{62E8090C-609D-4844-B056-155B38FA30AE}" uniqueName="2" name="Time In" queryTableFieldId="2"/>
    <tableColumn id="3" xr3:uid="{6A7E1018-EF6F-4665-BAE7-CA1DC7680615}" uniqueName="3" name="Time Out" queryTableFieldId="3"/>
    <tableColumn id="4" xr3:uid="{4F8F5422-9594-4874-B5EE-AD4F19CB2648}" uniqueName="4" name="Observer Initials" queryTableFieldId="4" dataDxfId="26"/>
    <tableColumn id="5" xr3:uid="{BB13B546-6C74-4C73-AB64-F500323E0D3F}" uniqueName="5" name="Map Zone (A/B)" queryTableFieldId="5" dataDxfId="25"/>
    <tableColumn id="6" xr3:uid="{629C6CA7-87AC-4C75-8B0F-1DF3E2EDCBF7}" uniqueName="6" name="Direction" queryTableFieldId="6" dataDxfId="24"/>
    <tableColumn id="7" xr3:uid="{1775FB05-629B-41C2-922C-FC16A508074E}" uniqueName="7" name="Visitor Type (Individual/Pair/Group/School)" queryTableFieldId="7" dataDxfId="23"/>
    <tableColumn id="8" xr3:uid="{C887A4E4-BF32-41B6-A4F8-B600AEB7C912}" uniqueName="8" name="Gender/Age (if noted)" queryTableFieldId="8" dataDxfId="22"/>
    <tableColumn id="9" xr3:uid="{6F5D5D59-9EFD-42B1-8E51-64545004EAE3}" uniqueName="9" name="With/Without Children" queryTableFieldId="9" dataDxfId="21"/>
    <tableColumn id="10" xr3:uid="{A1C8E2E8-4C01-4B91-B9B6-2327741CFD06}" uniqueName="10" name="Route Pattern (Door A/B/Through-route)" queryTableFieldId="10" dataDxfId="20"/>
    <tableColumn id="11" xr3:uid="{7437E4DB-944A-492B-8D73-E0F076F93721}" uniqueName="11" name="Stops/Engagement Points" queryTableFieldId="11" dataDxfId="19"/>
    <tableColumn id="12" xr3:uid="{47D2F030-229D-42C2-B490-734B72A216C3}" uniqueName="12" name="Dwell Time (secs/mins)" queryTableFieldId="12"/>
    <tableColumn id="13" xr3:uid="{FAD16DC6-EC2C-4130-A682-DA54A498668B}" uniqueName="13" name="Behavioural Observations/notes/comments" queryTableFieldId="13" dataDxfId="18"/>
    <tableColumn id="14" xr3:uid="{DFE24DB2-214C-4E03-987A-75744D15A5B4}" uniqueName="14" name="Visitor Comments" queryTableFieldId="14" dataDxfId="17"/>
    <tableColumn id="15" xr3:uid="{0EBA8F33-355C-423A-A880-A79BEA8975C1}" uniqueName="15" name="Observer Notes" queryTableFieldId="15"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11FFA1-1F1A-49CB-AB2C-35F04FDA1028}" name="Table4" displayName="Table4" ref="A1:U250" totalsRowShown="0">
  <autoFilter ref="A1:U250" xr:uid="{9E11FFA1-1F1A-49CB-AB2C-35F04FDA1028}"/>
  <tableColumns count="21">
    <tableColumn id="1" xr3:uid="{AF220272-B8FD-4C40-9A01-182EABE9E25A}" name="date"/>
    <tableColumn id="2" xr3:uid="{9CB7ED22-3F8B-4761-A2D7-5829DCFA7782}" name="time_in" dataDxfId="15"/>
    <tableColumn id="3" xr3:uid="{F3E19A21-EA92-476D-B186-E93F5079F557}" name="time_out" dataDxfId="14"/>
    <tableColumn id="4" xr3:uid="{A680E25A-C48A-4853-8E16-12125E093D78}" name="observer_initials"/>
    <tableColumn id="5" xr3:uid="{B6B27424-1386-4CEB-A406-5098AA718D86}" name="map_zone"/>
    <tableColumn id="21" xr3:uid="{DC267B01-06A3-4CE8-83EC-E07D915DC446}" name="entry_point" dataDxfId="13">
      <calculatedColumnFormula>LEFT(Table4[[#This Row],[direction]],1)</calculatedColumnFormula>
    </tableColumn>
    <tableColumn id="6" xr3:uid="{382E903C-7980-46BA-AF4F-CF4FED97EEF0}" name="direction"/>
    <tableColumn id="7" xr3:uid="{83E81D9B-B8F3-462A-BD84-C03C7E9AFD56}" name="visitor_cat"/>
    <tableColumn id="8" xr3:uid="{0618911E-A8B4-420E-AC17-71195C9A8C62}" name="gender_age"/>
    <tableColumn id="9" xr3:uid="{BEEAB0C4-0E9B-43C8-8FDA-E9977C515895}" name="with_children" dataDxfId="12"/>
    <tableColumn id="10" xr3:uid="{681A83AD-279D-428D-8F82-337E0C245C41}" name="route_pattern"/>
    <tableColumn id="16" xr3:uid="{9E59F174-96C4-4C82-98BE-E5CC25D286E9}" name="initial_route" dataDxfId="11">
      <calculatedColumnFormula>IFERROR(LEFT(Table4[[#This Row],[route_codes]],FIND(";",Table4[[#This Row],[route_codes]])-1),Table4[[#This Row],[route_codes]])</calculatedColumnFormula>
    </tableColumn>
    <tableColumn id="14" xr3:uid="{580940FB-0CB8-4032-8D5D-BE1C4DAF08B4}" name="route_codes"/>
    <tableColumn id="11" xr3:uid="{212F60E3-D2BA-4BB8-B711-C4EDE2EC563E}" name="engagement_points"/>
    <tableColumn id="17" xr3:uid="{F3076432-7BDB-4ABD-B08F-FD061FFF6DE1}" name="initial_point" dataDxfId="10">
      <calculatedColumnFormula>IFERROR(LEFT(Table4[[#This Row],[point_codes]],FIND(";",Table4[[#This Row],[point_codes]])-1),Table4[[#This Row],[point_codes]])</calculatedColumnFormula>
    </tableColumn>
    <tableColumn id="15" xr3:uid="{7445277B-39C2-4B10-ADAB-CC7D53235460}" name="point_codes"/>
    <tableColumn id="19" xr3:uid="{9FAC13E9-1EC1-486F-848C-029A15DA44E1}" name="no_points" dataDxfId="9">
      <calculatedColumnFormula>IF(ISBLANK(Table4[[#This Row],[point_codes]]), "", LEN(Table4[[#This Row],[point_codes]])-LEN(SUBSTITUTE(Table4[[#This Row],[point_codes]],";",""))+1)</calculatedColumnFormula>
    </tableColumn>
    <tableColumn id="12" xr3:uid="{4B52C080-A89A-4DB0-A272-5B7BC938DCB2}" name="behavioural_notes"/>
    <tableColumn id="20" xr3:uid="{A6803BB3-CE1C-4B05-A7E6-68BDD0160FD3}" name="observer_notes"/>
    <tableColumn id="18" xr3:uid="{ED5362FC-4810-427B-B87E-6BD541B8BACF}" name="engagement_level"/>
    <tableColumn id="13" xr3:uid="{6BC5E532-9BD1-47C9-BA76-F9465E3491E7}" name="dwell_time" dataDxfId="8">
      <calculatedColumnFormula>Table4[[#This Row],[time_out]]-Table4[[#This Row],[time_in]]</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436F8F-C03F-4B52-B30A-E3EA3E65E189}" name="point_codes" displayName="point_codes" ref="W1:Z28" totalsRowShown="0" headerRowBorderDxfId="7" tableBorderDxfId="6" totalsRowBorderDxfId="5">
  <autoFilter ref="W1:Z28" xr:uid="{98436F8F-C03F-4B52-B30A-E3EA3E65E189}"/>
  <tableColumns count="4">
    <tableColumn id="1" xr3:uid="{E7268EB2-F2E2-4C0B-81AA-6DFE00D690FF}" name="room" dataDxfId="4"/>
    <tableColumn id="2" xr3:uid="{41216082-BB97-4697-9E6A-838C1DA72EC7}" name="point" dataDxfId="3"/>
    <tableColumn id="4" xr3:uid="{B6A4A1E7-E231-44D2-A00B-542834F674A8}" name="code" dataDxfId="2">
      <calculatedColumnFormula>_xlfn.TEXTJOIN("-",FALSE, point_codes[[#This Row],[room]:[point]])</calculatedColumnFormula>
    </tableColumn>
    <tableColumn id="3" xr3:uid="{38A43278-977A-4D18-8C92-F9FCB17443CC}" name="description" dataDxfId="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96E0C5-C853-4E3C-B851-4F3B48BDA637}" name="route_codes" displayName="route_codes" ref="W30:AB38" totalsRowShown="0">
  <autoFilter ref="W30:AB38" xr:uid="{5496E0C5-C853-4E3C-B851-4F3B48BDA637}"/>
  <tableColumns count="6">
    <tableColumn id="1" xr3:uid="{44EBA69C-43B8-4786-85F5-905A02413DF6}" name="room"/>
    <tableColumn id="2" xr3:uid="{1579810D-87D5-4336-8FCC-287D2CF7A8E2}" name="route"/>
    <tableColumn id="6" xr3:uid="{373A2690-6747-4783-A018-CADBF54A78D3}" name="code" dataDxfId="0">
      <calculatedColumnFormula>_xlfn.TEXTJOIN("-",FALSE,route_codes[[#This Row],[room]:[route]])</calculatedColumnFormula>
    </tableColumn>
    <tableColumn id="3" xr3:uid="{8AF0482A-6458-4C06-9F03-0BF38ED14388}" name="start"/>
    <tableColumn id="4" xr3:uid="{FB37FD3D-7128-4A32-A526-B42C7BA0C60B}" name="end"/>
    <tableColumn id="5" xr3:uid="{4895BDD5-624D-4CFD-95E1-2BBA21023775}" name="vi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1.bin"/><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621E2-0C60-48CE-8446-20C1639D60CB}">
  <dimension ref="A1:M226"/>
  <sheetViews>
    <sheetView topLeftCell="J226" workbookViewId="0">
      <selection activeCell="L2" sqref="L2:L226"/>
    </sheetView>
  </sheetViews>
  <sheetFormatPr defaultRowHeight="14.4" x14ac:dyDescent="0.3"/>
  <cols>
    <col min="1" max="1" width="10.33203125" bestFit="1" customWidth="1"/>
    <col min="2" max="2" width="9.6640625" bestFit="1" customWidth="1"/>
    <col min="3" max="3" width="11" bestFit="1" customWidth="1"/>
    <col min="4" max="4" width="17.88671875" bestFit="1" customWidth="1"/>
    <col min="5" max="5" width="11.88671875" bestFit="1" customWidth="1"/>
    <col min="6" max="6" width="11.109375" bestFit="1" customWidth="1"/>
    <col min="7" max="7" width="12.21875" bestFit="1" customWidth="1"/>
    <col min="8" max="8" width="58.5546875" bestFit="1" customWidth="1"/>
    <col min="9" max="9" width="15.109375" bestFit="1" customWidth="1"/>
    <col min="10" max="12" width="80.88671875" bestFit="1" customWidth="1"/>
    <col min="13" max="13" width="12.77734375" bestFit="1" customWidth="1"/>
  </cols>
  <sheetData>
    <row r="1" spans="1:13" x14ac:dyDescent="0.3">
      <c r="A1" t="s">
        <v>629</v>
      </c>
      <c r="B1" t="s">
        <v>630</v>
      </c>
      <c r="C1" t="s">
        <v>631</v>
      </c>
      <c r="D1" t="s">
        <v>632</v>
      </c>
      <c r="E1" t="s">
        <v>633</v>
      </c>
      <c r="F1" t="s">
        <v>634</v>
      </c>
      <c r="G1" t="s">
        <v>635</v>
      </c>
      <c r="H1" t="s">
        <v>636</v>
      </c>
      <c r="I1" t="s">
        <v>637</v>
      </c>
      <c r="J1" t="s">
        <v>638</v>
      </c>
      <c r="K1" t="s">
        <v>639</v>
      </c>
      <c r="L1" t="s">
        <v>640</v>
      </c>
      <c r="M1" t="s">
        <v>641</v>
      </c>
    </row>
    <row r="2" spans="1:13" x14ac:dyDescent="0.3">
      <c r="A2" s="2">
        <v>45973</v>
      </c>
      <c r="B2" s="3">
        <v>0.48402777777777778</v>
      </c>
      <c r="C2" s="3">
        <v>0.48541666666666666</v>
      </c>
      <c r="D2" t="s">
        <v>15</v>
      </c>
      <c r="E2" t="s">
        <v>16</v>
      </c>
      <c r="F2" t="s">
        <v>642</v>
      </c>
      <c r="G2" t="s">
        <v>643</v>
      </c>
      <c r="H2" t="s">
        <v>19</v>
      </c>
      <c r="I2" t="s">
        <v>644</v>
      </c>
      <c r="J2" t="s">
        <v>21</v>
      </c>
      <c r="K2" t="s">
        <v>22</v>
      </c>
      <c r="L2" t="s">
        <v>23</v>
      </c>
      <c r="M2" s="4">
        <v>1.3888888888888889E-3</v>
      </c>
    </row>
    <row r="3" spans="1:13" x14ac:dyDescent="0.3">
      <c r="A3" s="2">
        <v>45973</v>
      </c>
      <c r="B3" s="3">
        <v>0.44166666666666665</v>
      </c>
      <c r="C3" s="3">
        <v>0.44236111111111109</v>
      </c>
      <c r="D3" t="s">
        <v>15</v>
      </c>
      <c r="E3" t="s">
        <v>16</v>
      </c>
      <c r="F3" t="s">
        <v>642</v>
      </c>
      <c r="G3" t="s">
        <v>490</v>
      </c>
      <c r="I3" t="s">
        <v>644</v>
      </c>
      <c r="J3" t="s">
        <v>25</v>
      </c>
      <c r="K3" t="s">
        <v>26</v>
      </c>
      <c r="L3" t="s">
        <v>23</v>
      </c>
      <c r="M3" s="4">
        <v>6.9444444444444447E-4</v>
      </c>
    </row>
    <row r="4" spans="1:13" x14ac:dyDescent="0.3">
      <c r="A4" s="2">
        <v>45981</v>
      </c>
      <c r="B4" s="3">
        <v>0.4597222222222222</v>
      </c>
      <c r="C4" s="3">
        <v>0.46041666666666664</v>
      </c>
      <c r="D4" t="s">
        <v>28</v>
      </c>
      <c r="E4" t="s">
        <v>16</v>
      </c>
      <c r="F4" t="s">
        <v>642</v>
      </c>
      <c r="G4" t="s">
        <v>134</v>
      </c>
      <c r="H4" t="s">
        <v>30</v>
      </c>
      <c r="I4" t="s">
        <v>645</v>
      </c>
      <c r="J4" t="s">
        <v>32</v>
      </c>
      <c r="K4" t="s">
        <v>33</v>
      </c>
      <c r="L4" t="s">
        <v>34</v>
      </c>
      <c r="M4" s="4">
        <v>6.9444444444444447E-4</v>
      </c>
    </row>
    <row r="5" spans="1:13" x14ac:dyDescent="0.3">
      <c r="A5" s="2">
        <v>45981</v>
      </c>
      <c r="B5" s="3">
        <v>0.44930555555555557</v>
      </c>
      <c r="C5" s="3">
        <v>0.45</v>
      </c>
      <c r="D5" t="s">
        <v>28</v>
      </c>
      <c r="E5" t="s">
        <v>16</v>
      </c>
      <c r="F5" t="s">
        <v>646</v>
      </c>
      <c r="G5" t="s">
        <v>134</v>
      </c>
      <c r="H5" t="s">
        <v>36</v>
      </c>
      <c r="I5" t="s">
        <v>645</v>
      </c>
      <c r="J5" t="s">
        <v>37</v>
      </c>
      <c r="K5" t="s">
        <v>26</v>
      </c>
      <c r="L5" t="s">
        <v>38</v>
      </c>
      <c r="M5" s="4">
        <v>6.9444444444444447E-4</v>
      </c>
    </row>
    <row r="6" spans="1:13" x14ac:dyDescent="0.3">
      <c r="A6" s="2">
        <v>45981</v>
      </c>
      <c r="B6" s="3">
        <v>0.44861111111111113</v>
      </c>
      <c r="C6" s="3">
        <v>0.44930555555555557</v>
      </c>
      <c r="D6" t="s">
        <v>28</v>
      </c>
      <c r="E6" t="s">
        <v>16</v>
      </c>
      <c r="F6" t="s">
        <v>646</v>
      </c>
      <c r="G6" t="s">
        <v>134</v>
      </c>
      <c r="H6" t="s">
        <v>40</v>
      </c>
      <c r="I6" t="s">
        <v>645</v>
      </c>
      <c r="J6" t="s">
        <v>37</v>
      </c>
      <c r="K6" t="s">
        <v>26</v>
      </c>
      <c r="L6" t="s">
        <v>41</v>
      </c>
      <c r="M6" s="4">
        <v>6.9444444444444447E-4</v>
      </c>
    </row>
    <row r="7" spans="1:13" x14ac:dyDescent="0.3">
      <c r="A7" s="2">
        <v>45981</v>
      </c>
      <c r="B7" s="3">
        <v>0.46319444444444446</v>
      </c>
      <c r="C7" s="3">
        <v>0.47013888888888888</v>
      </c>
      <c r="D7" t="s">
        <v>28</v>
      </c>
      <c r="E7" t="s">
        <v>16</v>
      </c>
      <c r="F7" t="s">
        <v>646</v>
      </c>
      <c r="G7" t="s">
        <v>134</v>
      </c>
      <c r="H7" t="s">
        <v>43</v>
      </c>
      <c r="I7" t="s">
        <v>645</v>
      </c>
      <c r="J7" t="s">
        <v>44</v>
      </c>
      <c r="K7" t="s">
        <v>45</v>
      </c>
      <c r="L7" t="s">
        <v>46</v>
      </c>
      <c r="M7" s="4">
        <v>6.9444444444444441E-3</v>
      </c>
    </row>
    <row r="8" spans="1:13" x14ac:dyDescent="0.3">
      <c r="A8" s="2">
        <v>45966</v>
      </c>
      <c r="B8" s="3">
        <v>0.47222222222222221</v>
      </c>
      <c r="C8" s="3">
        <v>0.47291666666666665</v>
      </c>
      <c r="D8" t="s">
        <v>15</v>
      </c>
      <c r="E8" t="s">
        <v>16</v>
      </c>
      <c r="F8" t="s">
        <v>642</v>
      </c>
      <c r="G8" t="s">
        <v>643</v>
      </c>
      <c r="H8" t="s">
        <v>47</v>
      </c>
      <c r="I8" t="s">
        <v>645</v>
      </c>
      <c r="J8" t="s">
        <v>48</v>
      </c>
      <c r="K8" t="s">
        <v>26</v>
      </c>
      <c r="L8" t="s">
        <v>23</v>
      </c>
      <c r="M8" s="4">
        <v>6.9444444444444447E-4</v>
      </c>
    </row>
    <row r="9" spans="1:13" x14ac:dyDescent="0.3">
      <c r="A9" s="2">
        <v>45981</v>
      </c>
      <c r="B9" s="3">
        <v>0.48055555555555557</v>
      </c>
      <c r="C9" s="3">
        <v>0.48333333333333334</v>
      </c>
      <c r="D9" t="s">
        <v>28</v>
      </c>
      <c r="E9" t="s">
        <v>16</v>
      </c>
      <c r="F9" t="s">
        <v>642</v>
      </c>
      <c r="G9" t="s">
        <v>643</v>
      </c>
      <c r="H9" t="s">
        <v>50</v>
      </c>
      <c r="I9" t="s">
        <v>645</v>
      </c>
      <c r="J9" t="s">
        <v>51</v>
      </c>
      <c r="K9" t="s">
        <v>52</v>
      </c>
      <c r="L9" t="s">
        <v>23</v>
      </c>
      <c r="M9" s="4">
        <v>2.7777777777777779E-3</v>
      </c>
    </row>
    <row r="10" spans="1:13" x14ac:dyDescent="0.3">
      <c r="A10" s="2">
        <v>45981</v>
      </c>
      <c r="B10" s="3">
        <v>0.47152777777777777</v>
      </c>
      <c r="C10" s="3">
        <v>0.47430555555555554</v>
      </c>
      <c r="D10" t="s">
        <v>28</v>
      </c>
      <c r="E10" t="s">
        <v>16</v>
      </c>
      <c r="F10" t="s">
        <v>642</v>
      </c>
      <c r="G10" t="s">
        <v>643</v>
      </c>
      <c r="H10" t="s">
        <v>54</v>
      </c>
      <c r="I10" t="s">
        <v>645</v>
      </c>
      <c r="J10" t="s">
        <v>55</v>
      </c>
      <c r="K10" t="s">
        <v>56</v>
      </c>
      <c r="L10" t="s">
        <v>57</v>
      </c>
      <c r="M10" s="4">
        <v>2.7777777777777779E-3</v>
      </c>
    </row>
    <row r="11" spans="1:13" x14ac:dyDescent="0.3">
      <c r="A11" s="2">
        <v>45981</v>
      </c>
      <c r="B11" s="3">
        <v>0.47013888888888888</v>
      </c>
      <c r="C11" s="3">
        <v>0.47083333333333333</v>
      </c>
      <c r="D11" t="s">
        <v>28</v>
      </c>
      <c r="E11" t="s">
        <v>16</v>
      </c>
      <c r="F11" t="s">
        <v>642</v>
      </c>
      <c r="G11" t="s">
        <v>134</v>
      </c>
      <c r="H11" t="s">
        <v>58</v>
      </c>
      <c r="I11" t="s">
        <v>645</v>
      </c>
      <c r="J11" t="s">
        <v>59</v>
      </c>
      <c r="K11" t="s">
        <v>60</v>
      </c>
      <c r="L11" t="s">
        <v>61</v>
      </c>
      <c r="M11" s="4">
        <v>6.9444444444444447E-4</v>
      </c>
    </row>
    <row r="12" spans="1:13" x14ac:dyDescent="0.3">
      <c r="A12" s="2">
        <v>45981</v>
      </c>
      <c r="B12" s="3">
        <v>0.45833333333333331</v>
      </c>
      <c r="C12" s="3">
        <v>0.4597222222222222</v>
      </c>
      <c r="D12" t="s">
        <v>28</v>
      </c>
      <c r="E12" t="s">
        <v>16</v>
      </c>
      <c r="F12" t="s">
        <v>642</v>
      </c>
      <c r="G12" t="s">
        <v>134</v>
      </c>
      <c r="H12" t="s">
        <v>62</v>
      </c>
      <c r="I12" t="s">
        <v>644</v>
      </c>
      <c r="J12" t="s">
        <v>63</v>
      </c>
      <c r="K12" t="s">
        <v>26</v>
      </c>
      <c r="L12" t="s">
        <v>64</v>
      </c>
      <c r="M12" s="4">
        <v>1.3888888888888889E-3</v>
      </c>
    </row>
    <row r="13" spans="1:13" x14ac:dyDescent="0.3">
      <c r="A13" s="2"/>
      <c r="B13" s="3">
        <v>0.59722222222222221</v>
      </c>
      <c r="C13" s="3">
        <v>0.59861111111111109</v>
      </c>
      <c r="E13" t="s">
        <v>16</v>
      </c>
      <c r="F13" t="s">
        <v>642</v>
      </c>
      <c r="G13" t="s">
        <v>134</v>
      </c>
      <c r="I13" t="s">
        <v>645</v>
      </c>
      <c r="J13" t="s">
        <v>65</v>
      </c>
      <c r="K13" t="s">
        <v>66</v>
      </c>
      <c r="M13" s="4">
        <v>1.3888888888888889E-3</v>
      </c>
    </row>
    <row r="14" spans="1:13" x14ac:dyDescent="0.3">
      <c r="A14" s="2">
        <v>45973</v>
      </c>
      <c r="B14" s="3">
        <v>0.44097222222222221</v>
      </c>
      <c r="C14" s="3">
        <v>0.44236111111111109</v>
      </c>
      <c r="D14" t="s">
        <v>15</v>
      </c>
      <c r="E14" t="s">
        <v>16</v>
      </c>
      <c r="F14" t="s">
        <v>642</v>
      </c>
      <c r="G14" t="s">
        <v>490</v>
      </c>
      <c r="H14" t="s">
        <v>67</v>
      </c>
      <c r="I14" t="s">
        <v>644</v>
      </c>
      <c r="J14" t="s">
        <v>68</v>
      </c>
      <c r="K14" t="s">
        <v>69</v>
      </c>
      <c r="M14" s="4">
        <v>1.3888888888888889E-3</v>
      </c>
    </row>
    <row r="15" spans="1:13" x14ac:dyDescent="0.3">
      <c r="A15" s="2">
        <v>45973</v>
      </c>
      <c r="B15" s="3">
        <v>0.4777777777777778</v>
      </c>
      <c r="C15" s="3">
        <v>0.47916666666666669</v>
      </c>
      <c r="D15" t="s">
        <v>15</v>
      </c>
      <c r="E15" t="s">
        <v>16</v>
      </c>
      <c r="F15" t="s">
        <v>646</v>
      </c>
      <c r="G15" t="s">
        <v>643</v>
      </c>
      <c r="H15" t="s">
        <v>70</v>
      </c>
      <c r="I15" t="s">
        <v>645</v>
      </c>
      <c r="J15" t="s">
        <v>72</v>
      </c>
      <c r="K15" t="s">
        <v>73</v>
      </c>
      <c r="M15" s="4">
        <v>1.3888888888888889E-3</v>
      </c>
    </row>
    <row r="16" spans="1:13" x14ac:dyDescent="0.3">
      <c r="A16" s="2">
        <v>45973</v>
      </c>
      <c r="B16" s="3">
        <v>0.47569444444444442</v>
      </c>
      <c r="C16" s="3">
        <v>0.47638888888888886</v>
      </c>
      <c r="D16" t="s">
        <v>15</v>
      </c>
      <c r="E16" t="s">
        <v>16</v>
      </c>
      <c r="F16" t="s">
        <v>646</v>
      </c>
      <c r="G16" t="s">
        <v>490</v>
      </c>
      <c r="H16" t="s">
        <v>74</v>
      </c>
      <c r="I16" t="s">
        <v>312</v>
      </c>
      <c r="J16" t="s">
        <v>75</v>
      </c>
      <c r="K16" t="s">
        <v>42</v>
      </c>
      <c r="M16" s="4">
        <v>6.9444444444444447E-4</v>
      </c>
    </row>
    <row r="17" spans="1:13" x14ac:dyDescent="0.3">
      <c r="A17" s="2">
        <v>45973</v>
      </c>
      <c r="B17" s="3">
        <v>0.43402777777777779</v>
      </c>
      <c r="C17" s="3">
        <v>0.43472222222222223</v>
      </c>
      <c r="D17" t="s">
        <v>15</v>
      </c>
      <c r="E17" t="s">
        <v>16</v>
      </c>
      <c r="F17" t="s">
        <v>646</v>
      </c>
      <c r="G17" t="s">
        <v>490</v>
      </c>
      <c r="H17" t="s">
        <v>76</v>
      </c>
      <c r="I17" t="s">
        <v>312</v>
      </c>
      <c r="J17" t="s">
        <v>75</v>
      </c>
      <c r="K17" t="s">
        <v>42</v>
      </c>
      <c r="L17" t="s">
        <v>77</v>
      </c>
      <c r="M17" s="4">
        <v>6.9444444444444447E-4</v>
      </c>
    </row>
    <row r="18" spans="1:13" x14ac:dyDescent="0.3">
      <c r="A18" s="2">
        <v>45973</v>
      </c>
      <c r="B18" s="3">
        <v>0.4375</v>
      </c>
      <c r="C18" s="3">
        <v>0.43819444444444444</v>
      </c>
      <c r="D18" t="s">
        <v>15</v>
      </c>
      <c r="E18" t="s">
        <v>16</v>
      </c>
      <c r="F18" t="s">
        <v>646</v>
      </c>
      <c r="G18" t="s">
        <v>134</v>
      </c>
      <c r="H18" t="s">
        <v>78</v>
      </c>
      <c r="I18" t="s">
        <v>312</v>
      </c>
      <c r="J18" t="s">
        <v>75</v>
      </c>
      <c r="K18" t="s">
        <v>42</v>
      </c>
      <c r="M18" s="4">
        <v>6.9444444444444447E-4</v>
      </c>
    </row>
    <row r="19" spans="1:13" x14ac:dyDescent="0.3">
      <c r="A19" s="2">
        <v>45973</v>
      </c>
      <c r="B19" s="3">
        <v>0.43819444444444444</v>
      </c>
      <c r="C19" s="3">
        <v>0.43888888888888888</v>
      </c>
      <c r="D19" t="s">
        <v>15</v>
      </c>
      <c r="E19" t="s">
        <v>16</v>
      </c>
      <c r="F19" t="s">
        <v>646</v>
      </c>
      <c r="G19" t="s">
        <v>643</v>
      </c>
      <c r="H19" t="s">
        <v>79</v>
      </c>
      <c r="I19" t="s">
        <v>312</v>
      </c>
      <c r="J19" t="s">
        <v>75</v>
      </c>
      <c r="K19" t="s">
        <v>42</v>
      </c>
      <c r="M19" s="4">
        <v>6.9444444444444447E-4</v>
      </c>
    </row>
    <row r="20" spans="1:13" x14ac:dyDescent="0.3">
      <c r="A20" s="2">
        <v>45973</v>
      </c>
      <c r="B20" s="3">
        <v>0.43888888888888888</v>
      </c>
      <c r="C20" s="3">
        <v>0.43958333333333333</v>
      </c>
      <c r="D20" t="s">
        <v>15</v>
      </c>
      <c r="E20" t="s">
        <v>16</v>
      </c>
      <c r="F20" t="s">
        <v>646</v>
      </c>
      <c r="G20" t="s">
        <v>490</v>
      </c>
      <c r="H20" t="s">
        <v>80</v>
      </c>
      <c r="I20" t="s">
        <v>312</v>
      </c>
      <c r="J20" t="s">
        <v>75</v>
      </c>
      <c r="K20" t="s">
        <v>42</v>
      </c>
      <c r="M20" s="4">
        <v>6.9444444444444447E-4</v>
      </c>
    </row>
    <row r="21" spans="1:13" x14ac:dyDescent="0.3">
      <c r="A21" s="2">
        <v>45973</v>
      </c>
      <c r="B21" s="3">
        <v>0.43888888888888888</v>
      </c>
      <c r="C21" s="3">
        <v>0.43958333333333333</v>
      </c>
      <c r="D21" t="s">
        <v>15</v>
      </c>
      <c r="E21" t="s">
        <v>16</v>
      </c>
      <c r="F21" t="s">
        <v>646</v>
      </c>
      <c r="G21" t="s">
        <v>490</v>
      </c>
      <c r="H21" t="s">
        <v>81</v>
      </c>
      <c r="I21" t="s">
        <v>312</v>
      </c>
      <c r="J21" t="s">
        <v>75</v>
      </c>
      <c r="K21" t="s">
        <v>42</v>
      </c>
      <c r="M21" s="4">
        <v>6.9444444444444447E-4</v>
      </c>
    </row>
    <row r="22" spans="1:13" x14ac:dyDescent="0.3">
      <c r="A22" s="2">
        <v>45973</v>
      </c>
      <c r="B22" s="3">
        <v>0.43958333333333333</v>
      </c>
      <c r="C22" s="3">
        <v>0.44097222222222221</v>
      </c>
      <c r="D22" t="s">
        <v>15</v>
      </c>
      <c r="E22" t="s">
        <v>16</v>
      </c>
      <c r="F22" t="s">
        <v>646</v>
      </c>
      <c r="G22" t="s">
        <v>643</v>
      </c>
      <c r="H22" t="s">
        <v>82</v>
      </c>
      <c r="I22" t="s">
        <v>312</v>
      </c>
      <c r="J22" t="s">
        <v>83</v>
      </c>
      <c r="K22" t="s">
        <v>84</v>
      </c>
      <c r="M22" s="4">
        <v>1.3888888888888889E-3</v>
      </c>
    </row>
    <row r="23" spans="1:13" x14ac:dyDescent="0.3">
      <c r="A23" s="2">
        <v>45973</v>
      </c>
      <c r="B23" s="3">
        <v>0.44097222222222221</v>
      </c>
      <c r="C23" s="3">
        <v>0.44166666666666665</v>
      </c>
      <c r="D23" t="s">
        <v>15</v>
      </c>
      <c r="E23" t="s">
        <v>16</v>
      </c>
      <c r="F23" t="s">
        <v>646</v>
      </c>
      <c r="G23" t="s">
        <v>490</v>
      </c>
      <c r="H23" t="s">
        <v>85</v>
      </c>
      <c r="I23" t="s">
        <v>312</v>
      </c>
      <c r="J23" t="s">
        <v>86</v>
      </c>
      <c r="K23" t="s">
        <v>87</v>
      </c>
      <c r="M23" s="4">
        <v>6.9444444444444447E-4</v>
      </c>
    </row>
    <row r="24" spans="1:13" x14ac:dyDescent="0.3">
      <c r="A24" s="2">
        <v>45973</v>
      </c>
      <c r="B24" s="3">
        <v>0.47361111111111109</v>
      </c>
      <c r="C24" s="3">
        <v>0.47430555555555554</v>
      </c>
      <c r="D24" t="s">
        <v>15</v>
      </c>
      <c r="E24" t="s">
        <v>16</v>
      </c>
      <c r="F24" t="s">
        <v>642</v>
      </c>
      <c r="G24" t="s">
        <v>134</v>
      </c>
      <c r="H24" t="s">
        <v>88</v>
      </c>
      <c r="I24" t="s">
        <v>312</v>
      </c>
      <c r="J24" t="s">
        <v>89</v>
      </c>
      <c r="M24" s="4">
        <v>6.9444444444444447E-4</v>
      </c>
    </row>
    <row r="25" spans="1:13" x14ac:dyDescent="0.3">
      <c r="A25" s="2">
        <v>45966</v>
      </c>
      <c r="B25" s="3">
        <v>0.51249999999999996</v>
      </c>
      <c r="C25" s="3">
        <v>0.51666666666666672</v>
      </c>
      <c r="D25" t="s">
        <v>15</v>
      </c>
      <c r="E25" t="s">
        <v>16</v>
      </c>
      <c r="F25" t="s">
        <v>646</v>
      </c>
      <c r="G25" t="s">
        <v>134</v>
      </c>
      <c r="H25" t="s">
        <v>90</v>
      </c>
      <c r="I25" t="s">
        <v>645</v>
      </c>
      <c r="J25" t="s">
        <v>91</v>
      </c>
      <c r="K25" t="s">
        <v>92</v>
      </c>
      <c r="M25" s="4">
        <v>4.1666666666666666E-3</v>
      </c>
    </row>
    <row r="26" spans="1:13" x14ac:dyDescent="0.3">
      <c r="A26" s="2">
        <v>45966</v>
      </c>
      <c r="B26" s="3">
        <v>0.50416666666666665</v>
      </c>
      <c r="C26" s="3">
        <v>0.50555555555555554</v>
      </c>
      <c r="D26" t="s">
        <v>15</v>
      </c>
      <c r="E26" t="s">
        <v>16</v>
      </c>
      <c r="F26" t="s">
        <v>646</v>
      </c>
      <c r="G26" t="s">
        <v>134</v>
      </c>
      <c r="H26" t="s">
        <v>93</v>
      </c>
      <c r="I26" t="s">
        <v>645</v>
      </c>
      <c r="J26" t="s">
        <v>94</v>
      </c>
      <c r="M26" s="4">
        <v>1.3888888888888889E-3</v>
      </c>
    </row>
    <row r="27" spans="1:13" x14ac:dyDescent="0.3">
      <c r="A27" s="2">
        <v>45966</v>
      </c>
      <c r="B27" s="3">
        <v>0.47916666666666669</v>
      </c>
      <c r="C27" s="3">
        <v>0.47986111111111113</v>
      </c>
      <c r="D27" t="s">
        <v>15</v>
      </c>
      <c r="E27" t="s">
        <v>16</v>
      </c>
      <c r="F27" t="s">
        <v>646</v>
      </c>
      <c r="G27" t="s">
        <v>643</v>
      </c>
      <c r="H27" t="s">
        <v>95</v>
      </c>
      <c r="I27" t="s">
        <v>645</v>
      </c>
      <c r="J27" t="s">
        <v>96</v>
      </c>
      <c r="K27" t="s">
        <v>97</v>
      </c>
      <c r="L27" t="s">
        <v>98</v>
      </c>
      <c r="M27" s="4">
        <v>6.9444444444444447E-4</v>
      </c>
    </row>
    <row r="28" spans="1:13" x14ac:dyDescent="0.3">
      <c r="A28" s="2">
        <v>45980</v>
      </c>
      <c r="B28" s="3">
        <v>0.58680555555555558</v>
      </c>
      <c r="C28" s="3">
        <v>0.58958333333333335</v>
      </c>
      <c r="D28" t="s">
        <v>15</v>
      </c>
      <c r="E28" t="s">
        <v>16</v>
      </c>
      <c r="F28" t="s">
        <v>646</v>
      </c>
      <c r="G28" t="s">
        <v>490</v>
      </c>
      <c r="H28" t="s">
        <v>99</v>
      </c>
      <c r="I28" t="s">
        <v>645</v>
      </c>
      <c r="J28" t="s">
        <v>100</v>
      </c>
      <c r="K28" t="s">
        <v>101</v>
      </c>
      <c r="M28" s="4">
        <v>2.7777777777777779E-3</v>
      </c>
    </row>
    <row r="29" spans="1:13" x14ac:dyDescent="0.3">
      <c r="A29" s="2">
        <v>45980</v>
      </c>
      <c r="B29" s="3">
        <v>0.61597222222222225</v>
      </c>
      <c r="C29" s="3">
        <v>0.62083333333333335</v>
      </c>
      <c r="D29" t="s">
        <v>15</v>
      </c>
      <c r="E29" t="s">
        <v>16</v>
      </c>
      <c r="F29" t="s">
        <v>642</v>
      </c>
      <c r="G29" t="s">
        <v>643</v>
      </c>
      <c r="H29" t="s">
        <v>47</v>
      </c>
      <c r="I29" t="s">
        <v>645</v>
      </c>
      <c r="J29" t="s">
        <v>103</v>
      </c>
      <c r="K29" t="s">
        <v>104</v>
      </c>
      <c r="M29" s="4">
        <v>4.8611111111111112E-3</v>
      </c>
    </row>
    <row r="30" spans="1:13" x14ac:dyDescent="0.3">
      <c r="A30" s="2">
        <v>45980</v>
      </c>
      <c r="B30" s="3">
        <v>0.59027777777777779</v>
      </c>
      <c r="C30" s="3">
        <v>0.59305555555555556</v>
      </c>
      <c r="D30" t="s">
        <v>15</v>
      </c>
      <c r="E30" t="s">
        <v>16</v>
      </c>
      <c r="F30" t="s">
        <v>646</v>
      </c>
      <c r="G30" t="s">
        <v>643</v>
      </c>
      <c r="H30" t="s">
        <v>47</v>
      </c>
      <c r="I30" t="s">
        <v>645</v>
      </c>
      <c r="J30" t="s">
        <v>105</v>
      </c>
      <c r="K30" t="s">
        <v>106</v>
      </c>
      <c r="M30" s="4">
        <v>2.7777777777777779E-3</v>
      </c>
    </row>
    <row r="31" spans="1:13" x14ac:dyDescent="0.3">
      <c r="A31" s="2">
        <v>45973</v>
      </c>
      <c r="B31" s="3">
        <v>0.45</v>
      </c>
      <c r="C31" s="3">
        <v>0.4513888888888889</v>
      </c>
      <c r="D31" t="s">
        <v>15</v>
      </c>
      <c r="E31" t="s">
        <v>16</v>
      </c>
      <c r="F31" t="s">
        <v>642</v>
      </c>
      <c r="G31" t="s">
        <v>490</v>
      </c>
      <c r="H31" t="s">
        <v>107</v>
      </c>
      <c r="I31" t="s">
        <v>312</v>
      </c>
      <c r="J31" t="s">
        <v>108</v>
      </c>
      <c r="K31" t="s">
        <v>109</v>
      </c>
      <c r="M31" s="4">
        <v>1.3888888888888889E-3</v>
      </c>
    </row>
    <row r="32" spans="1:13" x14ac:dyDescent="0.3">
      <c r="A32" s="2">
        <v>45973</v>
      </c>
      <c r="B32" s="3">
        <v>0.44861111111111113</v>
      </c>
      <c r="C32" s="3">
        <v>0.44930555555555557</v>
      </c>
      <c r="D32" t="s">
        <v>15</v>
      </c>
      <c r="E32" t="s">
        <v>16</v>
      </c>
      <c r="F32" t="s">
        <v>642</v>
      </c>
      <c r="G32" t="s">
        <v>490</v>
      </c>
      <c r="H32" t="s">
        <v>110</v>
      </c>
      <c r="I32" t="s">
        <v>645</v>
      </c>
      <c r="J32" t="s">
        <v>111</v>
      </c>
      <c r="K32" t="s">
        <v>112</v>
      </c>
      <c r="M32" s="4">
        <v>6.9444444444444447E-4</v>
      </c>
    </row>
    <row r="33" spans="1:13" x14ac:dyDescent="0.3">
      <c r="A33" s="2">
        <v>45973</v>
      </c>
      <c r="B33" s="3">
        <v>0.4861111111111111</v>
      </c>
      <c r="C33" s="3">
        <v>0.48749999999999999</v>
      </c>
      <c r="D33" t="s">
        <v>15</v>
      </c>
      <c r="E33" t="s">
        <v>16</v>
      </c>
      <c r="F33" t="s">
        <v>642</v>
      </c>
      <c r="G33" t="s">
        <v>643</v>
      </c>
      <c r="H33" t="s">
        <v>113</v>
      </c>
      <c r="I33" t="s">
        <v>645</v>
      </c>
      <c r="J33" t="s">
        <v>114</v>
      </c>
      <c r="K33" t="s">
        <v>114</v>
      </c>
      <c r="M33" s="4">
        <v>1.3888888888888889E-3</v>
      </c>
    </row>
    <row r="34" spans="1:13" x14ac:dyDescent="0.3">
      <c r="A34" s="2">
        <v>45968</v>
      </c>
      <c r="B34" s="3">
        <v>0.45555555555555555</v>
      </c>
      <c r="C34" s="3">
        <v>0.45624999999999999</v>
      </c>
      <c r="D34" t="s">
        <v>115</v>
      </c>
      <c r="E34" t="s">
        <v>16</v>
      </c>
      <c r="F34" t="s">
        <v>642</v>
      </c>
      <c r="G34" t="s">
        <v>134</v>
      </c>
      <c r="H34" t="s">
        <v>116</v>
      </c>
      <c r="I34" t="s">
        <v>644</v>
      </c>
      <c r="J34" t="s">
        <v>117</v>
      </c>
      <c r="K34" t="s">
        <v>118</v>
      </c>
      <c r="M34" s="4">
        <v>6.9444444444444447E-4</v>
      </c>
    </row>
    <row r="35" spans="1:13" x14ac:dyDescent="0.3">
      <c r="A35" s="2">
        <v>45980</v>
      </c>
      <c r="B35" s="3">
        <v>0.61458333333333337</v>
      </c>
      <c r="C35" s="3">
        <v>0.62152777777777779</v>
      </c>
      <c r="D35" t="s">
        <v>15</v>
      </c>
      <c r="E35" t="s">
        <v>16</v>
      </c>
      <c r="F35" t="s">
        <v>646</v>
      </c>
      <c r="G35" t="s">
        <v>643</v>
      </c>
      <c r="H35" t="s">
        <v>40</v>
      </c>
      <c r="I35" t="s">
        <v>645</v>
      </c>
      <c r="J35" t="s">
        <v>119</v>
      </c>
      <c r="K35" t="s">
        <v>119</v>
      </c>
      <c r="L35" t="s">
        <v>120</v>
      </c>
      <c r="M35" s="4">
        <v>6.9444444444444441E-3</v>
      </c>
    </row>
    <row r="36" spans="1:13" x14ac:dyDescent="0.3">
      <c r="A36" s="2">
        <v>45980</v>
      </c>
      <c r="B36" s="3">
        <v>0.59097222222222223</v>
      </c>
      <c r="C36" s="3">
        <v>0.59166666666666667</v>
      </c>
      <c r="D36" t="s">
        <v>15</v>
      </c>
      <c r="E36" t="s">
        <v>16</v>
      </c>
      <c r="F36" t="s">
        <v>646</v>
      </c>
      <c r="G36" t="s">
        <v>643</v>
      </c>
      <c r="H36" t="s">
        <v>82</v>
      </c>
      <c r="I36" t="s">
        <v>645</v>
      </c>
      <c r="J36" t="s">
        <v>121</v>
      </c>
      <c r="K36" t="s">
        <v>122</v>
      </c>
      <c r="M36" s="4">
        <v>6.9444444444444447E-4</v>
      </c>
    </row>
    <row r="37" spans="1:13" x14ac:dyDescent="0.3">
      <c r="A37" s="2">
        <v>45980</v>
      </c>
      <c r="B37" s="3">
        <v>0.59375</v>
      </c>
      <c r="C37" s="3">
        <v>0.59583333333333333</v>
      </c>
      <c r="D37" t="s">
        <v>15</v>
      </c>
      <c r="E37" t="s">
        <v>16</v>
      </c>
      <c r="F37" t="s">
        <v>646</v>
      </c>
      <c r="G37" t="s">
        <v>134</v>
      </c>
      <c r="H37" t="s">
        <v>123</v>
      </c>
      <c r="I37" t="s">
        <v>645</v>
      </c>
      <c r="J37" t="s">
        <v>124</v>
      </c>
      <c r="K37" t="s">
        <v>124</v>
      </c>
      <c r="M37" s="4">
        <v>2.0833333333333333E-3</v>
      </c>
    </row>
    <row r="38" spans="1:13" x14ac:dyDescent="0.3">
      <c r="A38" s="2">
        <v>45994</v>
      </c>
      <c r="B38" s="3">
        <v>0.45624999999999999</v>
      </c>
      <c r="C38" s="3">
        <v>0.45694444444444443</v>
      </c>
      <c r="D38" t="s">
        <v>15</v>
      </c>
      <c r="E38" t="s">
        <v>16</v>
      </c>
      <c r="F38" t="s">
        <v>642</v>
      </c>
      <c r="G38" t="s">
        <v>643</v>
      </c>
      <c r="H38" t="s">
        <v>125</v>
      </c>
      <c r="I38" t="s">
        <v>645</v>
      </c>
      <c r="J38" t="s">
        <v>126</v>
      </c>
      <c r="K38" t="s">
        <v>126</v>
      </c>
      <c r="M38" s="4">
        <v>6.9444444444444447E-4</v>
      </c>
    </row>
    <row r="39" spans="1:13" x14ac:dyDescent="0.3">
      <c r="A39" s="2">
        <v>45994</v>
      </c>
      <c r="B39" s="3">
        <v>0.4826388888888889</v>
      </c>
      <c r="C39" s="3">
        <v>0.48333333333333334</v>
      </c>
      <c r="D39" t="s">
        <v>15</v>
      </c>
      <c r="E39" t="s">
        <v>16</v>
      </c>
      <c r="F39" t="s">
        <v>646</v>
      </c>
      <c r="G39" t="s">
        <v>134</v>
      </c>
      <c r="H39" t="s">
        <v>127</v>
      </c>
      <c r="I39" t="s">
        <v>645</v>
      </c>
      <c r="J39" t="s">
        <v>128</v>
      </c>
      <c r="K39" t="s">
        <v>128</v>
      </c>
      <c r="M39" s="4">
        <v>6.9444444444444447E-4</v>
      </c>
    </row>
    <row r="40" spans="1:13" x14ac:dyDescent="0.3">
      <c r="A40" s="2">
        <v>45994</v>
      </c>
      <c r="B40" s="3">
        <v>0.49027777777777776</v>
      </c>
      <c r="C40" s="3">
        <v>0.49027777777777776</v>
      </c>
      <c r="D40" t="s">
        <v>15</v>
      </c>
      <c r="E40" t="s">
        <v>16</v>
      </c>
      <c r="F40" t="s">
        <v>646</v>
      </c>
      <c r="G40" t="s">
        <v>134</v>
      </c>
      <c r="H40" t="s">
        <v>129</v>
      </c>
      <c r="I40" t="s">
        <v>645</v>
      </c>
      <c r="J40" t="s">
        <v>130</v>
      </c>
      <c r="K40" t="s">
        <v>122</v>
      </c>
      <c r="L40" t="s">
        <v>131</v>
      </c>
      <c r="M40" s="4">
        <v>0</v>
      </c>
    </row>
    <row r="41" spans="1:13" x14ac:dyDescent="0.3">
      <c r="A41" s="2">
        <v>45994</v>
      </c>
      <c r="B41" s="3">
        <v>0.49375000000000002</v>
      </c>
      <c r="C41" s="3">
        <v>0.49375000000000002</v>
      </c>
      <c r="D41" t="s">
        <v>15</v>
      </c>
      <c r="E41" t="s">
        <v>16</v>
      </c>
      <c r="F41" t="s">
        <v>646</v>
      </c>
      <c r="G41" t="s">
        <v>490</v>
      </c>
      <c r="H41" t="s">
        <v>133</v>
      </c>
      <c r="I41" t="s">
        <v>645</v>
      </c>
      <c r="J41" t="s">
        <v>130</v>
      </c>
      <c r="K41" t="s">
        <v>122</v>
      </c>
      <c r="M41" s="4">
        <v>0</v>
      </c>
    </row>
    <row r="42" spans="1:13" x14ac:dyDescent="0.3">
      <c r="A42" s="2">
        <v>45994</v>
      </c>
      <c r="B42" s="3">
        <v>0.44513888888888886</v>
      </c>
      <c r="C42" s="3">
        <v>0.44583333333333336</v>
      </c>
      <c r="D42" t="s">
        <v>15</v>
      </c>
      <c r="E42" t="s">
        <v>16</v>
      </c>
      <c r="F42" t="s">
        <v>642</v>
      </c>
      <c r="G42" t="s">
        <v>134</v>
      </c>
      <c r="H42" t="s">
        <v>135</v>
      </c>
      <c r="I42" t="s">
        <v>644</v>
      </c>
      <c r="J42" t="s">
        <v>136</v>
      </c>
      <c r="K42" t="s">
        <v>122</v>
      </c>
      <c r="M42" s="4">
        <v>6.9444444444444447E-4</v>
      </c>
    </row>
    <row r="43" spans="1:13" x14ac:dyDescent="0.3">
      <c r="A43" s="2"/>
      <c r="B43" s="3">
        <v>0.49444444444444446</v>
      </c>
      <c r="C43" s="3">
        <v>0.49444444444444446</v>
      </c>
      <c r="E43" t="s">
        <v>16</v>
      </c>
      <c r="F43" t="s">
        <v>642</v>
      </c>
      <c r="G43" t="s">
        <v>134</v>
      </c>
      <c r="H43" t="s">
        <v>137</v>
      </c>
      <c r="I43" t="s">
        <v>644</v>
      </c>
      <c r="J43" t="s">
        <v>136</v>
      </c>
      <c r="K43" t="s">
        <v>122</v>
      </c>
      <c r="M43" s="4">
        <v>0</v>
      </c>
    </row>
    <row r="44" spans="1:13" x14ac:dyDescent="0.3">
      <c r="A44" s="2"/>
      <c r="B44" s="3">
        <v>0.49513888888888891</v>
      </c>
      <c r="C44" s="3">
        <v>0.49583333333333335</v>
      </c>
      <c r="E44" t="s">
        <v>16</v>
      </c>
      <c r="F44" t="s">
        <v>646</v>
      </c>
      <c r="G44" t="s">
        <v>134</v>
      </c>
      <c r="H44" t="s">
        <v>138</v>
      </c>
      <c r="I44" t="s">
        <v>645</v>
      </c>
      <c r="J44" t="s">
        <v>139</v>
      </c>
      <c r="K44" t="s">
        <v>140</v>
      </c>
      <c r="M44" s="4">
        <v>6.9444444444444447E-4</v>
      </c>
    </row>
    <row r="45" spans="1:13" x14ac:dyDescent="0.3">
      <c r="A45" s="2"/>
      <c r="B45" s="3">
        <v>0.47222222222222221</v>
      </c>
      <c r="C45" s="3">
        <v>0.47222222222222221</v>
      </c>
      <c r="E45" t="s">
        <v>16</v>
      </c>
      <c r="F45" t="s">
        <v>642</v>
      </c>
      <c r="G45" t="s">
        <v>134</v>
      </c>
      <c r="H45" t="s">
        <v>141</v>
      </c>
      <c r="I45" t="s">
        <v>645</v>
      </c>
      <c r="J45" t="s">
        <v>142</v>
      </c>
      <c r="K45" t="s">
        <v>143</v>
      </c>
      <c r="M45" s="4">
        <v>0</v>
      </c>
    </row>
    <row r="46" spans="1:13" x14ac:dyDescent="0.3">
      <c r="A46" s="2"/>
      <c r="B46" s="3">
        <v>0.47152777777777777</v>
      </c>
      <c r="C46" s="3">
        <v>0.47152777777777777</v>
      </c>
      <c r="E46" t="s">
        <v>16</v>
      </c>
      <c r="F46" t="s">
        <v>642</v>
      </c>
      <c r="G46" t="s">
        <v>643</v>
      </c>
      <c r="H46" t="s">
        <v>144</v>
      </c>
      <c r="I46" t="s">
        <v>645</v>
      </c>
      <c r="J46" t="s">
        <v>145</v>
      </c>
      <c r="K46" t="s">
        <v>146</v>
      </c>
      <c r="M46" s="4">
        <v>0</v>
      </c>
    </row>
    <row r="47" spans="1:13" x14ac:dyDescent="0.3">
      <c r="A47" s="2">
        <v>45997</v>
      </c>
      <c r="B47" s="3">
        <v>0.48055555555555557</v>
      </c>
      <c r="C47" s="3">
        <v>0.48125000000000001</v>
      </c>
      <c r="D47" t="s">
        <v>147</v>
      </c>
      <c r="E47" t="s">
        <v>16</v>
      </c>
      <c r="F47" t="s">
        <v>646</v>
      </c>
      <c r="G47" t="s">
        <v>134</v>
      </c>
      <c r="H47" t="s">
        <v>148</v>
      </c>
      <c r="I47" t="s">
        <v>645</v>
      </c>
      <c r="J47" t="s">
        <v>149</v>
      </c>
      <c r="K47" t="s">
        <v>122</v>
      </c>
      <c r="M47" s="4">
        <v>6.9444444444444447E-4</v>
      </c>
    </row>
    <row r="48" spans="1:13" x14ac:dyDescent="0.3">
      <c r="A48" s="2">
        <v>45997</v>
      </c>
      <c r="B48" s="3">
        <v>0.46875</v>
      </c>
      <c r="C48" s="3">
        <v>0.46875</v>
      </c>
      <c r="D48" t="s">
        <v>147</v>
      </c>
      <c r="E48" t="s">
        <v>16</v>
      </c>
      <c r="F48" t="s">
        <v>646</v>
      </c>
      <c r="G48" t="s">
        <v>134</v>
      </c>
      <c r="H48" t="s">
        <v>150</v>
      </c>
      <c r="I48" t="s">
        <v>645</v>
      </c>
      <c r="J48" t="s">
        <v>149</v>
      </c>
      <c r="K48" t="s">
        <v>122</v>
      </c>
      <c r="M48" s="4">
        <v>0</v>
      </c>
    </row>
    <row r="49" spans="1:13" x14ac:dyDescent="0.3">
      <c r="A49" s="2">
        <v>45997</v>
      </c>
      <c r="B49" s="3">
        <v>0.47430555555555554</v>
      </c>
      <c r="C49" s="3">
        <v>0.47430555555555554</v>
      </c>
      <c r="D49" t="s">
        <v>147</v>
      </c>
      <c r="E49" t="s">
        <v>16</v>
      </c>
      <c r="F49" t="s">
        <v>646</v>
      </c>
      <c r="G49" t="s">
        <v>134</v>
      </c>
      <c r="H49" t="s">
        <v>150</v>
      </c>
      <c r="I49" t="s">
        <v>645</v>
      </c>
      <c r="J49" t="s">
        <v>149</v>
      </c>
      <c r="K49" t="s">
        <v>122</v>
      </c>
      <c r="L49" t="s">
        <v>151</v>
      </c>
      <c r="M49" s="4">
        <v>0</v>
      </c>
    </row>
    <row r="50" spans="1:13" x14ac:dyDescent="0.3">
      <c r="A50" s="2">
        <v>45998</v>
      </c>
      <c r="B50" s="3">
        <v>0.4597222222222222</v>
      </c>
      <c r="C50" s="3">
        <v>0.4597222222222222</v>
      </c>
      <c r="D50" t="s">
        <v>28</v>
      </c>
      <c r="E50" t="s">
        <v>16</v>
      </c>
      <c r="F50" t="s">
        <v>642</v>
      </c>
      <c r="G50" t="s">
        <v>490</v>
      </c>
      <c r="H50" t="s">
        <v>152</v>
      </c>
      <c r="I50" t="s">
        <v>644</v>
      </c>
      <c r="J50" t="s">
        <v>136</v>
      </c>
      <c r="K50" t="s">
        <v>122</v>
      </c>
      <c r="L50" t="s">
        <v>154</v>
      </c>
      <c r="M50" s="4">
        <v>0</v>
      </c>
    </row>
    <row r="51" spans="1:13" x14ac:dyDescent="0.3">
      <c r="A51" s="2">
        <v>45998</v>
      </c>
      <c r="B51" s="3">
        <v>0.46041666666666664</v>
      </c>
      <c r="C51" s="3">
        <v>0.46111111111111114</v>
      </c>
      <c r="D51" t="s">
        <v>28</v>
      </c>
      <c r="E51" t="s">
        <v>16</v>
      </c>
      <c r="F51" t="s">
        <v>642</v>
      </c>
      <c r="G51" t="s">
        <v>134</v>
      </c>
      <c r="H51" t="s">
        <v>155</v>
      </c>
      <c r="I51" t="s">
        <v>645</v>
      </c>
      <c r="J51" t="s">
        <v>136</v>
      </c>
      <c r="K51" t="s">
        <v>122</v>
      </c>
      <c r="L51" t="s">
        <v>156</v>
      </c>
      <c r="M51" s="4">
        <v>6.9444444444444447E-4</v>
      </c>
    </row>
    <row r="52" spans="1:13" x14ac:dyDescent="0.3">
      <c r="A52" s="2">
        <v>45991</v>
      </c>
      <c r="B52" s="3">
        <v>0.5756944444444444</v>
      </c>
      <c r="C52" s="3">
        <v>0.5756944444444444</v>
      </c>
      <c r="D52" t="s">
        <v>147</v>
      </c>
      <c r="E52" t="s">
        <v>16</v>
      </c>
      <c r="F52" t="s">
        <v>646</v>
      </c>
      <c r="G52" t="s">
        <v>134</v>
      </c>
      <c r="H52" t="s">
        <v>150</v>
      </c>
      <c r="I52" t="s">
        <v>645</v>
      </c>
      <c r="J52" t="s">
        <v>149</v>
      </c>
      <c r="K52" t="s">
        <v>122</v>
      </c>
      <c r="L52" t="s">
        <v>157</v>
      </c>
      <c r="M52" s="4">
        <v>0</v>
      </c>
    </row>
    <row r="53" spans="1:13" x14ac:dyDescent="0.3">
      <c r="A53" s="2">
        <v>45991</v>
      </c>
      <c r="B53" s="3">
        <v>0.50763888888888886</v>
      </c>
      <c r="C53" s="3">
        <v>0.5083333333333333</v>
      </c>
      <c r="D53" t="s">
        <v>15</v>
      </c>
      <c r="E53" t="s">
        <v>16</v>
      </c>
      <c r="F53" t="s">
        <v>646</v>
      </c>
      <c r="G53" t="s">
        <v>134</v>
      </c>
      <c r="I53" t="s">
        <v>645</v>
      </c>
      <c r="J53" t="s">
        <v>158</v>
      </c>
      <c r="K53" t="s">
        <v>122</v>
      </c>
      <c r="L53" t="s">
        <v>159</v>
      </c>
      <c r="M53" s="4">
        <v>6.9444444444444447E-4</v>
      </c>
    </row>
    <row r="54" spans="1:13" x14ac:dyDescent="0.3">
      <c r="A54" s="2"/>
      <c r="B54" s="3">
        <v>0.56388888888888888</v>
      </c>
      <c r="C54" s="3">
        <v>0.56388888888888888</v>
      </c>
      <c r="D54" t="s">
        <v>147</v>
      </c>
      <c r="E54" t="s">
        <v>16</v>
      </c>
      <c r="F54" t="s">
        <v>642</v>
      </c>
      <c r="G54" t="s">
        <v>490</v>
      </c>
      <c r="I54" t="s">
        <v>644</v>
      </c>
      <c r="J54" t="s">
        <v>160</v>
      </c>
      <c r="K54" t="s">
        <v>122</v>
      </c>
      <c r="L54" t="s">
        <v>161</v>
      </c>
      <c r="M54" s="4">
        <v>0</v>
      </c>
    </row>
    <row r="55" spans="1:13" x14ac:dyDescent="0.3">
      <c r="A55" s="2">
        <v>45988</v>
      </c>
      <c r="B55" s="3">
        <v>0.48194444444444445</v>
      </c>
      <c r="C55" s="3">
        <v>0.48194444444444445</v>
      </c>
      <c r="D55" t="s">
        <v>28</v>
      </c>
      <c r="E55" t="s">
        <v>16</v>
      </c>
      <c r="F55" t="s">
        <v>646</v>
      </c>
      <c r="G55" t="s">
        <v>643</v>
      </c>
      <c r="H55" t="s">
        <v>162</v>
      </c>
      <c r="I55" t="s">
        <v>645</v>
      </c>
      <c r="J55" t="s">
        <v>163</v>
      </c>
      <c r="K55" t="s">
        <v>164</v>
      </c>
      <c r="M55" s="4">
        <v>0</v>
      </c>
    </row>
    <row r="56" spans="1:13" x14ac:dyDescent="0.3">
      <c r="A56" s="2">
        <v>45988</v>
      </c>
      <c r="B56" s="3">
        <v>0.47986111111111113</v>
      </c>
      <c r="C56" s="3">
        <v>0.47986111111111113</v>
      </c>
      <c r="D56" t="s">
        <v>28</v>
      </c>
      <c r="E56" t="s">
        <v>16</v>
      </c>
      <c r="F56" t="s">
        <v>642</v>
      </c>
      <c r="G56" t="s">
        <v>134</v>
      </c>
      <c r="H56" t="s">
        <v>165</v>
      </c>
      <c r="I56" t="s">
        <v>645</v>
      </c>
      <c r="J56" t="s">
        <v>166</v>
      </c>
      <c r="K56" t="s">
        <v>122</v>
      </c>
      <c r="M56" s="4">
        <v>0</v>
      </c>
    </row>
    <row r="57" spans="1:13" x14ac:dyDescent="0.3">
      <c r="A57" s="2">
        <v>45988</v>
      </c>
      <c r="B57" s="3">
        <v>0.47708333333333336</v>
      </c>
      <c r="C57" s="3">
        <v>0.47708333333333336</v>
      </c>
      <c r="D57" t="s">
        <v>28</v>
      </c>
      <c r="E57" t="s">
        <v>16</v>
      </c>
      <c r="F57" t="s">
        <v>642</v>
      </c>
      <c r="G57" t="s">
        <v>490</v>
      </c>
      <c r="H57" t="s">
        <v>167</v>
      </c>
      <c r="I57" t="s">
        <v>645</v>
      </c>
      <c r="J57" t="s">
        <v>166</v>
      </c>
      <c r="K57" t="s">
        <v>122</v>
      </c>
      <c r="M57" s="4">
        <v>0</v>
      </c>
    </row>
    <row r="58" spans="1:13" x14ac:dyDescent="0.3">
      <c r="A58" s="2">
        <v>45988</v>
      </c>
      <c r="B58" s="3">
        <v>0.50555555555555554</v>
      </c>
      <c r="C58" s="3">
        <v>0.50555555555555554</v>
      </c>
      <c r="D58" t="s">
        <v>28</v>
      </c>
      <c r="E58" t="s">
        <v>16</v>
      </c>
      <c r="F58" t="s">
        <v>642</v>
      </c>
      <c r="G58" t="s">
        <v>490</v>
      </c>
      <c r="H58" t="s">
        <v>168</v>
      </c>
      <c r="I58" t="s">
        <v>645</v>
      </c>
      <c r="J58" t="s">
        <v>166</v>
      </c>
      <c r="K58" t="s">
        <v>122</v>
      </c>
      <c r="M58" s="4">
        <v>0</v>
      </c>
    </row>
    <row r="59" spans="1:13" x14ac:dyDescent="0.3">
      <c r="A59" s="2">
        <v>45988</v>
      </c>
      <c r="B59" s="3">
        <v>0.50138888888888888</v>
      </c>
      <c r="C59" s="3">
        <v>0.50138888888888888</v>
      </c>
      <c r="D59" t="s">
        <v>28</v>
      </c>
      <c r="E59" t="s">
        <v>16</v>
      </c>
      <c r="F59" t="s">
        <v>642</v>
      </c>
      <c r="G59" t="s">
        <v>643</v>
      </c>
      <c r="H59" t="s">
        <v>50</v>
      </c>
      <c r="I59" t="s">
        <v>645</v>
      </c>
      <c r="J59" t="s">
        <v>166</v>
      </c>
      <c r="K59" t="s">
        <v>122</v>
      </c>
      <c r="L59" t="s">
        <v>169</v>
      </c>
      <c r="M59" s="4">
        <v>0</v>
      </c>
    </row>
    <row r="60" spans="1:13" x14ac:dyDescent="0.3">
      <c r="A60" s="2">
        <v>45988</v>
      </c>
      <c r="B60" s="3">
        <v>0.48402777777777778</v>
      </c>
      <c r="C60" s="3">
        <v>0.48472222222222222</v>
      </c>
      <c r="D60" t="s">
        <v>15</v>
      </c>
      <c r="E60" t="s">
        <v>16</v>
      </c>
      <c r="F60" t="s">
        <v>642</v>
      </c>
      <c r="G60" t="s">
        <v>490</v>
      </c>
      <c r="H60" t="s">
        <v>170</v>
      </c>
      <c r="I60" t="s">
        <v>645</v>
      </c>
      <c r="J60" t="s">
        <v>171</v>
      </c>
      <c r="K60" t="s">
        <v>172</v>
      </c>
      <c r="M60" s="4">
        <v>6.9444444444444447E-4</v>
      </c>
    </row>
    <row r="61" spans="1:13" x14ac:dyDescent="0.3">
      <c r="A61" s="2">
        <v>45989</v>
      </c>
      <c r="B61" s="3">
        <v>0.58402777777777781</v>
      </c>
      <c r="C61" s="3">
        <v>0.5854166666666667</v>
      </c>
      <c r="D61" t="s">
        <v>115</v>
      </c>
      <c r="E61" t="s">
        <v>16</v>
      </c>
      <c r="F61" t="s">
        <v>642</v>
      </c>
      <c r="G61" t="s">
        <v>134</v>
      </c>
      <c r="H61" t="s">
        <v>150</v>
      </c>
      <c r="I61" t="s">
        <v>645</v>
      </c>
      <c r="J61" t="s">
        <v>173</v>
      </c>
      <c r="K61" t="s">
        <v>174</v>
      </c>
      <c r="L61" t="s">
        <v>175</v>
      </c>
      <c r="M61" s="4">
        <v>1.3888888888888889E-3</v>
      </c>
    </row>
    <row r="62" spans="1:13" x14ac:dyDescent="0.3">
      <c r="A62" s="2">
        <v>45991</v>
      </c>
      <c r="B62" s="3">
        <v>0.50972222222222219</v>
      </c>
      <c r="C62" s="3">
        <v>0.51041666666666663</v>
      </c>
      <c r="D62" t="s">
        <v>176</v>
      </c>
      <c r="E62" t="s">
        <v>16</v>
      </c>
      <c r="F62" t="s">
        <v>646</v>
      </c>
      <c r="G62" t="s">
        <v>490</v>
      </c>
      <c r="I62" t="s">
        <v>644</v>
      </c>
      <c r="J62" t="s">
        <v>177</v>
      </c>
      <c r="K62" t="s">
        <v>178</v>
      </c>
      <c r="M62" s="4">
        <v>6.9444444444444447E-4</v>
      </c>
    </row>
    <row r="63" spans="1:13" x14ac:dyDescent="0.3">
      <c r="A63" s="2">
        <v>45985</v>
      </c>
      <c r="B63" s="3">
        <v>0.47222222222222221</v>
      </c>
      <c r="C63" s="3">
        <v>0.47291666666666665</v>
      </c>
      <c r="D63" t="s">
        <v>15</v>
      </c>
      <c r="E63" t="s">
        <v>16</v>
      </c>
      <c r="F63" t="s">
        <v>642</v>
      </c>
      <c r="G63" t="s">
        <v>134</v>
      </c>
      <c r="H63" t="s">
        <v>179</v>
      </c>
      <c r="I63" t="s">
        <v>645</v>
      </c>
      <c r="J63" t="s">
        <v>180</v>
      </c>
      <c r="K63" t="s">
        <v>180</v>
      </c>
      <c r="L63" t="s">
        <v>181</v>
      </c>
      <c r="M63" s="4">
        <v>6.9444444444444447E-4</v>
      </c>
    </row>
    <row r="64" spans="1:13" x14ac:dyDescent="0.3">
      <c r="A64" s="2">
        <v>45988</v>
      </c>
      <c r="B64" s="3">
        <v>0.46875</v>
      </c>
      <c r="C64" s="3">
        <v>0.46875</v>
      </c>
      <c r="D64" t="s">
        <v>28</v>
      </c>
      <c r="E64" t="s">
        <v>16</v>
      </c>
      <c r="F64" t="s">
        <v>646</v>
      </c>
      <c r="G64" t="s">
        <v>134</v>
      </c>
      <c r="H64" t="s">
        <v>182</v>
      </c>
      <c r="I64" t="s">
        <v>645</v>
      </c>
      <c r="J64" t="s">
        <v>158</v>
      </c>
      <c r="K64" t="s">
        <v>122</v>
      </c>
      <c r="L64" t="s">
        <v>183</v>
      </c>
      <c r="M64" s="4">
        <v>0</v>
      </c>
    </row>
    <row r="65" spans="1:13" x14ac:dyDescent="0.3">
      <c r="A65" s="2">
        <v>45989</v>
      </c>
      <c r="B65" s="3">
        <v>0.58958333333333335</v>
      </c>
      <c r="C65" s="3">
        <v>0.59027777777777779</v>
      </c>
      <c r="D65" t="s">
        <v>115</v>
      </c>
      <c r="E65" t="s">
        <v>16</v>
      </c>
      <c r="F65" t="s">
        <v>642</v>
      </c>
      <c r="G65" t="s">
        <v>134</v>
      </c>
      <c r="H65" t="s">
        <v>184</v>
      </c>
      <c r="I65" t="s">
        <v>645</v>
      </c>
      <c r="J65" t="s">
        <v>185</v>
      </c>
      <c r="K65" t="s">
        <v>186</v>
      </c>
      <c r="L65" t="s">
        <v>187</v>
      </c>
      <c r="M65" s="4">
        <v>6.9444444444444447E-4</v>
      </c>
    </row>
    <row r="66" spans="1:13" x14ac:dyDescent="0.3">
      <c r="A66" s="2"/>
      <c r="B66" s="3">
        <v>0.47916666666666669</v>
      </c>
      <c r="C66" s="3">
        <v>0.48125000000000001</v>
      </c>
      <c r="E66" t="s">
        <v>16</v>
      </c>
      <c r="F66" t="s">
        <v>642</v>
      </c>
      <c r="G66" t="s">
        <v>643</v>
      </c>
      <c r="H66" t="s">
        <v>50</v>
      </c>
      <c r="I66" t="s">
        <v>644</v>
      </c>
      <c r="J66" t="s">
        <v>188</v>
      </c>
      <c r="K66" t="s">
        <v>188</v>
      </c>
      <c r="M66" s="4">
        <v>2.0833333333333333E-3</v>
      </c>
    </row>
    <row r="67" spans="1:13" x14ac:dyDescent="0.3">
      <c r="A67" s="2"/>
      <c r="B67" s="3">
        <v>0.4826388888888889</v>
      </c>
      <c r="C67" s="3">
        <v>0.4826388888888889</v>
      </c>
      <c r="E67" t="s">
        <v>16</v>
      </c>
      <c r="F67" t="s">
        <v>642</v>
      </c>
      <c r="G67" t="s">
        <v>134</v>
      </c>
      <c r="H67" t="s">
        <v>189</v>
      </c>
      <c r="I67" t="s">
        <v>645</v>
      </c>
      <c r="J67" t="s">
        <v>190</v>
      </c>
      <c r="K67" t="s">
        <v>122</v>
      </c>
      <c r="M67" s="4">
        <v>0</v>
      </c>
    </row>
    <row r="68" spans="1:13" x14ac:dyDescent="0.3">
      <c r="A68" s="2"/>
      <c r="B68" s="3">
        <v>0.4861111111111111</v>
      </c>
      <c r="C68" s="3">
        <v>0.4861111111111111</v>
      </c>
      <c r="E68" t="s">
        <v>16</v>
      </c>
      <c r="F68" t="s">
        <v>642</v>
      </c>
      <c r="G68" t="s">
        <v>643</v>
      </c>
      <c r="H68" t="s">
        <v>191</v>
      </c>
      <c r="I68" t="s">
        <v>645</v>
      </c>
      <c r="J68" t="s">
        <v>160</v>
      </c>
      <c r="K68" t="s">
        <v>122</v>
      </c>
      <c r="L68" t="s">
        <v>192</v>
      </c>
      <c r="M68" s="4">
        <v>0</v>
      </c>
    </row>
    <row r="69" spans="1:13" x14ac:dyDescent="0.3">
      <c r="A69" s="2"/>
      <c r="B69" s="3">
        <v>0.47222222222222221</v>
      </c>
      <c r="C69" s="3">
        <v>0.47569444444444442</v>
      </c>
      <c r="E69" t="s">
        <v>16</v>
      </c>
      <c r="F69" t="s">
        <v>646</v>
      </c>
      <c r="G69" t="s">
        <v>490</v>
      </c>
      <c r="I69" t="s">
        <v>645</v>
      </c>
      <c r="J69" t="s">
        <v>193</v>
      </c>
      <c r="M69" s="4">
        <v>3.472222222222222E-3</v>
      </c>
    </row>
    <row r="70" spans="1:13" x14ac:dyDescent="0.3">
      <c r="A70" s="2">
        <v>45988</v>
      </c>
      <c r="B70" s="3">
        <v>0.47569444444444442</v>
      </c>
      <c r="C70" s="3">
        <v>0.47638888888888886</v>
      </c>
      <c r="D70" t="s">
        <v>15</v>
      </c>
      <c r="E70" t="s">
        <v>16</v>
      </c>
      <c r="F70" t="s">
        <v>646</v>
      </c>
      <c r="G70" t="s">
        <v>134</v>
      </c>
      <c r="H70" t="s">
        <v>194</v>
      </c>
      <c r="I70" t="s">
        <v>645</v>
      </c>
      <c r="J70" t="s">
        <v>195</v>
      </c>
      <c r="K70" t="s">
        <v>196</v>
      </c>
      <c r="M70" s="4">
        <v>6.9444444444444447E-4</v>
      </c>
    </row>
    <row r="71" spans="1:13" x14ac:dyDescent="0.3">
      <c r="A71" s="2">
        <v>45988</v>
      </c>
      <c r="B71" s="3">
        <v>0.4375</v>
      </c>
      <c r="C71" s="3">
        <v>0.43819444444444444</v>
      </c>
      <c r="D71" t="s">
        <v>15</v>
      </c>
      <c r="E71" t="s">
        <v>16</v>
      </c>
      <c r="F71" t="s">
        <v>642</v>
      </c>
      <c r="G71" t="s">
        <v>490</v>
      </c>
      <c r="H71" t="s">
        <v>197</v>
      </c>
      <c r="I71" t="s">
        <v>645</v>
      </c>
      <c r="J71" t="s">
        <v>160</v>
      </c>
      <c r="K71" t="s">
        <v>122</v>
      </c>
      <c r="M71" s="4">
        <v>6.9444444444444447E-4</v>
      </c>
    </row>
    <row r="72" spans="1:13" x14ac:dyDescent="0.3">
      <c r="A72" s="2">
        <v>45984</v>
      </c>
      <c r="B72" s="3">
        <v>0.60624999999999996</v>
      </c>
      <c r="C72" s="3">
        <v>0.6069444444444444</v>
      </c>
      <c r="D72" t="s">
        <v>15</v>
      </c>
      <c r="E72" t="s">
        <v>16</v>
      </c>
      <c r="F72" t="s">
        <v>646</v>
      </c>
      <c r="G72" t="s">
        <v>134</v>
      </c>
      <c r="I72" t="s">
        <v>312</v>
      </c>
      <c r="J72" t="s">
        <v>198</v>
      </c>
      <c r="K72" t="s">
        <v>198</v>
      </c>
      <c r="M72" s="4">
        <v>6.9444444444444447E-4</v>
      </c>
    </row>
    <row r="73" spans="1:13" x14ac:dyDescent="0.3">
      <c r="A73" s="2">
        <v>45973</v>
      </c>
      <c r="B73" s="3">
        <v>0.47847222222222224</v>
      </c>
      <c r="C73" s="3">
        <v>0.4826388888888889</v>
      </c>
      <c r="D73" t="s">
        <v>15</v>
      </c>
      <c r="E73" t="s">
        <v>16</v>
      </c>
      <c r="F73" t="s">
        <v>642</v>
      </c>
      <c r="G73" t="s">
        <v>134</v>
      </c>
      <c r="H73" t="s">
        <v>199</v>
      </c>
      <c r="I73" t="s">
        <v>645</v>
      </c>
      <c r="J73" t="s">
        <v>200</v>
      </c>
      <c r="K73" t="s">
        <v>201</v>
      </c>
      <c r="M73" s="4">
        <v>4.1666666666666666E-3</v>
      </c>
    </row>
    <row r="74" spans="1:13" x14ac:dyDescent="0.3">
      <c r="A74" s="2">
        <v>45980</v>
      </c>
      <c r="B74" s="3">
        <v>0.58333333333333337</v>
      </c>
      <c r="C74" s="3">
        <v>0.58680555555555558</v>
      </c>
      <c r="D74" t="s">
        <v>15</v>
      </c>
      <c r="E74" t="s">
        <v>16</v>
      </c>
      <c r="F74" t="s">
        <v>646</v>
      </c>
      <c r="G74" t="s">
        <v>643</v>
      </c>
      <c r="H74" t="s">
        <v>202</v>
      </c>
      <c r="I74" t="s">
        <v>645</v>
      </c>
      <c r="J74" t="s">
        <v>203</v>
      </c>
      <c r="K74" t="s">
        <v>204</v>
      </c>
      <c r="M74" s="4">
        <v>3.472222222222222E-3</v>
      </c>
    </row>
    <row r="75" spans="1:13" x14ac:dyDescent="0.3">
      <c r="A75" s="2">
        <v>45980</v>
      </c>
      <c r="B75" s="3">
        <v>0.59444444444444444</v>
      </c>
      <c r="C75" s="3">
        <v>0.59583333333333333</v>
      </c>
      <c r="D75" t="s">
        <v>15</v>
      </c>
      <c r="E75" t="s">
        <v>16</v>
      </c>
      <c r="F75" t="s">
        <v>646</v>
      </c>
      <c r="G75" t="s">
        <v>134</v>
      </c>
      <c r="H75" t="s">
        <v>205</v>
      </c>
      <c r="I75" t="s">
        <v>645</v>
      </c>
      <c r="J75" t="s">
        <v>206</v>
      </c>
      <c r="K75" t="s">
        <v>206</v>
      </c>
      <c r="M75" s="4">
        <v>1.3888888888888889E-3</v>
      </c>
    </row>
    <row r="76" spans="1:13" x14ac:dyDescent="0.3">
      <c r="A76" s="2"/>
      <c r="B76" s="3">
        <v>0.49930555555555556</v>
      </c>
      <c r="C76" s="3">
        <v>0.50277777777777777</v>
      </c>
      <c r="E76" t="s">
        <v>16</v>
      </c>
      <c r="F76" t="s">
        <v>642</v>
      </c>
      <c r="G76" t="s">
        <v>134</v>
      </c>
      <c r="H76" t="s">
        <v>207</v>
      </c>
      <c r="I76" t="s">
        <v>645</v>
      </c>
      <c r="J76" t="s">
        <v>208</v>
      </c>
      <c r="K76" t="s">
        <v>209</v>
      </c>
      <c r="L76" t="s">
        <v>210</v>
      </c>
      <c r="M76" s="4">
        <v>3.472222222222222E-3</v>
      </c>
    </row>
    <row r="77" spans="1:13" x14ac:dyDescent="0.3">
      <c r="A77" s="2">
        <v>45991</v>
      </c>
      <c r="B77" s="3">
        <v>0.5805555555555556</v>
      </c>
      <c r="C77" s="3">
        <v>0.5805555555555556</v>
      </c>
      <c r="D77" t="s">
        <v>147</v>
      </c>
      <c r="E77" t="s">
        <v>16</v>
      </c>
      <c r="F77" t="s">
        <v>647</v>
      </c>
      <c r="G77" t="s">
        <v>643</v>
      </c>
      <c r="I77" t="s">
        <v>645</v>
      </c>
      <c r="J77" t="s">
        <v>212</v>
      </c>
      <c r="M77" s="4">
        <v>0</v>
      </c>
    </row>
    <row r="78" spans="1:13" x14ac:dyDescent="0.3">
      <c r="A78" s="2">
        <v>45991</v>
      </c>
      <c r="B78" s="3">
        <v>0.58125000000000004</v>
      </c>
      <c r="C78" s="3">
        <v>0.58333333333333337</v>
      </c>
      <c r="D78" t="s">
        <v>147</v>
      </c>
      <c r="E78" t="s">
        <v>16</v>
      </c>
      <c r="F78" t="s">
        <v>642</v>
      </c>
      <c r="G78" t="s">
        <v>134</v>
      </c>
      <c r="I78" t="s">
        <v>645</v>
      </c>
      <c r="J78" t="s">
        <v>214</v>
      </c>
      <c r="K78" t="s">
        <v>215</v>
      </c>
      <c r="M78" s="4">
        <v>2.0833333333333333E-3</v>
      </c>
    </row>
    <row r="79" spans="1:13" x14ac:dyDescent="0.3">
      <c r="A79" s="2">
        <v>45988</v>
      </c>
      <c r="B79" s="3">
        <v>0.46111111111111114</v>
      </c>
      <c r="C79" s="3">
        <v>0.46180555555555558</v>
      </c>
      <c r="D79" t="s">
        <v>28</v>
      </c>
      <c r="E79" t="s">
        <v>16</v>
      </c>
      <c r="F79" t="s">
        <v>642</v>
      </c>
      <c r="G79" t="s">
        <v>134</v>
      </c>
      <c r="H79" t="s">
        <v>216</v>
      </c>
      <c r="I79" t="s">
        <v>312</v>
      </c>
      <c r="J79" t="s">
        <v>217</v>
      </c>
      <c r="K79" t="s">
        <v>218</v>
      </c>
      <c r="M79" s="4">
        <v>6.9444444444444447E-4</v>
      </c>
    </row>
    <row r="80" spans="1:13" x14ac:dyDescent="0.3">
      <c r="A80" s="2"/>
      <c r="B80" s="3">
        <v>0.49166666666666664</v>
      </c>
      <c r="C80" s="3">
        <v>0.49166666666666664</v>
      </c>
      <c r="E80" t="s">
        <v>16</v>
      </c>
      <c r="F80" t="s">
        <v>642</v>
      </c>
      <c r="G80" t="s">
        <v>134</v>
      </c>
      <c r="H80" t="s">
        <v>219</v>
      </c>
      <c r="I80" t="s">
        <v>645</v>
      </c>
      <c r="J80" t="s">
        <v>221</v>
      </c>
      <c r="K80" t="s">
        <v>222</v>
      </c>
      <c r="L80" t="s">
        <v>223</v>
      </c>
      <c r="M80" s="4">
        <v>0</v>
      </c>
    </row>
    <row r="81" spans="1:13" x14ac:dyDescent="0.3">
      <c r="A81" s="2">
        <v>45991</v>
      </c>
      <c r="B81" s="3">
        <v>0.59097222222222223</v>
      </c>
      <c r="C81" s="3">
        <v>0.59513888888888888</v>
      </c>
      <c r="D81" t="s">
        <v>147</v>
      </c>
      <c r="E81" t="s">
        <v>16</v>
      </c>
      <c r="F81" t="s">
        <v>646</v>
      </c>
      <c r="G81" t="s">
        <v>134</v>
      </c>
      <c r="H81" t="s">
        <v>224</v>
      </c>
      <c r="I81" t="s">
        <v>645</v>
      </c>
      <c r="J81" t="s">
        <v>226</v>
      </c>
      <c r="K81" t="s">
        <v>227</v>
      </c>
      <c r="L81" t="s">
        <v>228</v>
      </c>
      <c r="M81" s="4">
        <v>4.1666666666666666E-3</v>
      </c>
    </row>
    <row r="82" spans="1:13" x14ac:dyDescent="0.3">
      <c r="A82" s="2"/>
      <c r="B82" s="3">
        <v>0.50277777777777777</v>
      </c>
      <c r="C82" s="3">
        <v>0.50416666666666665</v>
      </c>
      <c r="E82" t="s">
        <v>16</v>
      </c>
      <c r="F82" t="s">
        <v>646</v>
      </c>
      <c r="G82" t="s">
        <v>134</v>
      </c>
      <c r="H82" t="s">
        <v>229</v>
      </c>
      <c r="I82" t="s">
        <v>645</v>
      </c>
      <c r="J82" t="s">
        <v>230</v>
      </c>
      <c r="K82" t="s">
        <v>231</v>
      </c>
      <c r="M82" s="4">
        <v>1.3888888888888889E-3</v>
      </c>
    </row>
    <row r="83" spans="1:13" x14ac:dyDescent="0.3">
      <c r="A83" s="2">
        <v>45988</v>
      </c>
      <c r="B83" s="3">
        <v>0.50972222222222219</v>
      </c>
      <c r="C83" s="3">
        <v>0.5131944444444444</v>
      </c>
      <c r="D83" t="s">
        <v>28</v>
      </c>
      <c r="E83" t="s">
        <v>16</v>
      </c>
      <c r="F83" t="s">
        <v>642</v>
      </c>
      <c r="G83" t="s">
        <v>643</v>
      </c>
      <c r="H83" t="s">
        <v>232</v>
      </c>
      <c r="I83" t="s">
        <v>312</v>
      </c>
      <c r="J83" t="s">
        <v>233</v>
      </c>
      <c r="K83" t="s">
        <v>234</v>
      </c>
      <c r="M83" s="4">
        <v>3.472222222222222E-3</v>
      </c>
    </row>
    <row r="84" spans="1:13" x14ac:dyDescent="0.3">
      <c r="A84" s="2">
        <v>45988</v>
      </c>
      <c r="B84" s="3">
        <v>0.50624999999999998</v>
      </c>
      <c r="C84" s="3">
        <v>0.51111111111111107</v>
      </c>
      <c r="D84" t="s">
        <v>28</v>
      </c>
      <c r="E84" t="s">
        <v>16</v>
      </c>
      <c r="F84" t="s">
        <v>642</v>
      </c>
      <c r="G84" t="s">
        <v>134</v>
      </c>
      <c r="H84" t="s">
        <v>236</v>
      </c>
      <c r="I84" t="s">
        <v>312</v>
      </c>
      <c r="J84" t="s">
        <v>237</v>
      </c>
      <c r="K84" t="s">
        <v>238</v>
      </c>
      <c r="L84" t="s">
        <v>239</v>
      </c>
      <c r="M84" s="4">
        <v>4.8611111111111112E-3</v>
      </c>
    </row>
    <row r="85" spans="1:13" x14ac:dyDescent="0.3">
      <c r="A85" s="2">
        <v>45991</v>
      </c>
      <c r="B85" s="3">
        <v>0.56527777777777777</v>
      </c>
      <c r="C85" s="3">
        <v>0.56527777777777777</v>
      </c>
      <c r="D85" t="s">
        <v>147</v>
      </c>
      <c r="E85" t="s">
        <v>16</v>
      </c>
      <c r="F85" t="s">
        <v>642</v>
      </c>
      <c r="G85" t="s">
        <v>134</v>
      </c>
      <c r="H85" t="s">
        <v>240</v>
      </c>
      <c r="I85" t="s">
        <v>645</v>
      </c>
      <c r="J85" t="s">
        <v>241</v>
      </c>
      <c r="K85" t="s">
        <v>242</v>
      </c>
      <c r="L85" t="s">
        <v>243</v>
      </c>
      <c r="M85" s="4">
        <v>0</v>
      </c>
    </row>
    <row r="86" spans="1:13" x14ac:dyDescent="0.3">
      <c r="A86" s="2">
        <v>45988</v>
      </c>
      <c r="B86" s="3">
        <v>0.49027777777777776</v>
      </c>
      <c r="C86" s="3">
        <v>0.49027777777777776</v>
      </c>
      <c r="D86" t="s">
        <v>28</v>
      </c>
      <c r="E86" t="s">
        <v>16</v>
      </c>
      <c r="F86" t="s">
        <v>647</v>
      </c>
      <c r="G86" t="s">
        <v>134</v>
      </c>
      <c r="H86" t="s">
        <v>240</v>
      </c>
      <c r="I86" t="s">
        <v>312</v>
      </c>
      <c r="J86" t="s">
        <v>245</v>
      </c>
      <c r="K86" t="s">
        <v>246</v>
      </c>
      <c r="L86" t="s">
        <v>247</v>
      </c>
      <c r="M86" s="4">
        <v>0</v>
      </c>
    </row>
    <row r="87" spans="1:13" x14ac:dyDescent="0.3">
      <c r="A87" s="2">
        <v>45991</v>
      </c>
      <c r="B87" s="3">
        <v>0.55902777777777779</v>
      </c>
      <c r="C87" s="3">
        <v>0.56180555555555556</v>
      </c>
      <c r="D87" t="s">
        <v>147</v>
      </c>
      <c r="E87" t="s">
        <v>16</v>
      </c>
      <c r="F87" t="s">
        <v>646</v>
      </c>
      <c r="G87" t="s">
        <v>134</v>
      </c>
      <c r="H87" t="s">
        <v>248</v>
      </c>
      <c r="I87" t="s">
        <v>645</v>
      </c>
      <c r="J87" t="s">
        <v>250</v>
      </c>
      <c r="K87" t="s">
        <v>251</v>
      </c>
      <c r="L87" t="s">
        <v>252</v>
      </c>
      <c r="M87" s="4">
        <v>2.7777777777777779E-3</v>
      </c>
    </row>
    <row r="88" spans="1:13" x14ac:dyDescent="0.3">
      <c r="A88" s="2">
        <v>45991</v>
      </c>
      <c r="B88" s="3">
        <v>0.59583333333333333</v>
      </c>
      <c r="C88" s="3">
        <v>0.59652777777777777</v>
      </c>
      <c r="D88" t="s">
        <v>147</v>
      </c>
      <c r="E88" t="s">
        <v>16</v>
      </c>
      <c r="F88" t="s">
        <v>646</v>
      </c>
      <c r="G88" t="s">
        <v>134</v>
      </c>
      <c r="H88" t="s">
        <v>253</v>
      </c>
      <c r="I88" t="s">
        <v>645</v>
      </c>
      <c r="J88" t="s">
        <v>254</v>
      </c>
      <c r="K88" t="s">
        <v>255</v>
      </c>
      <c r="M88" s="4">
        <v>6.9444444444444447E-4</v>
      </c>
    </row>
    <row r="89" spans="1:13" x14ac:dyDescent="0.3">
      <c r="A89" s="2">
        <v>45991</v>
      </c>
      <c r="B89" s="3">
        <v>0.56944444444444442</v>
      </c>
      <c r="C89" s="3">
        <v>0.57152777777777775</v>
      </c>
      <c r="D89" t="s">
        <v>147</v>
      </c>
      <c r="E89" t="s">
        <v>16</v>
      </c>
      <c r="F89" t="s">
        <v>642</v>
      </c>
      <c r="G89" t="s">
        <v>134</v>
      </c>
      <c r="H89" t="s">
        <v>256</v>
      </c>
      <c r="I89" t="s">
        <v>644</v>
      </c>
      <c r="J89" t="s">
        <v>258</v>
      </c>
      <c r="K89" t="s">
        <v>259</v>
      </c>
      <c r="L89" t="s">
        <v>260</v>
      </c>
      <c r="M89" s="4">
        <v>2.0833333333333333E-3</v>
      </c>
    </row>
    <row r="90" spans="1:13" x14ac:dyDescent="0.3">
      <c r="A90" s="2">
        <v>45991</v>
      </c>
      <c r="B90" s="3">
        <v>0.57152777777777775</v>
      </c>
      <c r="C90" s="3">
        <v>0.57291666666666663</v>
      </c>
      <c r="D90" t="s">
        <v>147</v>
      </c>
      <c r="E90" t="s">
        <v>16</v>
      </c>
      <c r="F90" t="s">
        <v>642</v>
      </c>
      <c r="G90" t="s">
        <v>643</v>
      </c>
      <c r="I90" t="s">
        <v>645</v>
      </c>
      <c r="J90" t="s">
        <v>261</v>
      </c>
      <c r="K90" t="s">
        <v>262</v>
      </c>
      <c r="M90" s="4">
        <v>1.3888888888888889E-3</v>
      </c>
    </row>
    <row r="91" spans="1:13" x14ac:dyDescent="0.3">
      <c r="A91" s="2">
        <v>45991</v>
      </c>
      <c r="B91" s="3">
        <v>0.57361111111111107</v>
      </c>
      <c r="C91" s="3">
        <v>0.57499999999999996</v>
      </c>
      <c r="D91" t="s">
        <v>147</v>
      </c>
      <c r="E91" t="s">
        <v>16</v>
      </c>
      <c r="F91" t="s">
        <v>646</v>
      </c>
      <c r="G91" t="s">
        <v>490</v>
      </c>
      <c r="H91" t="s">
        <v>264</v>
      </c>
      <c r="I91" t="s">
        <v>645</v>
      </c>
      <c r="J91" t="s">
        <v>265</v>
      </c>
      <c r="K91" t="s">
        <v>266</v>
      </c>
      <c r="M91" s="4">
        <v>1.3888888888888889E-3</v>
      </c>
    </row>
    <row r="92" spans="1:13" x14ac:dyDescent="0.3">
      <c r="A92" s="2"/>
      <c r="B92" s="3">
        <v>0.49027777777777776</v>
      </c>
      <c r="C92" s="3">
        <v>0.4909722222222222</v>
      </c>
      <c r="E92" t="s">
        <v>16</v>
      </c>
      <c r="F92" t="s">
        <v>646</v>
      </c>
      <c r="G92" t="s">
        <v>643</v>
      </c>
      <c r="H92" t="s">
        <v>267</v>
      </c>
      <c r="I92" t="s">
        <v>312</v>
      </c>
      <c r="J92" t="s">
        <v>268</v>
      </c>
      <c r="K92" t="s">
        <v>269</v>
      </c>
      <c r="L92" t="s">
        <v>270</v>
      </c>
      <c r="M92" s="4">
        <v>6.9444444444444447E-4</v>
      </c>
    </row>
    <row r="93" spans="1:13" x14ac:dyDescent="0.3">
      <c r="A93" s="2">
        <v>45993</v>
      </c>
      <c r="B93" s="3">
        <v>0.48541666666666666</v>
      </c>
      <c r="C93" s="3">
        <v>0.48680555555555555</v>
      </c>
      <c r="E93" t="s">
        <v>16</v>
      </c>
      <c r="F93" t="s">
        <v>312</v>
      </c>
      <c r="G93" t="s">
        <v>134</v>
      </c>
      <c r="H93" t="s">
        <v>272</v>
      </c>
      <c r="I93" t="s">
        <v>312</v>
      </c>
      <c r="J93" t="s">
        <v>273</v>
      </c>
      <c r="K93" t="s">
        <v>274</v>
      </c>
      <c r="M93" s="4">
        <v>1.3888888888888889E-3</v>
      </c>
    </row>
    <row r="94" spans="1:13" x14ac:dyDescent="0.3">
      <c r="A94" s="2"/>
      <c r="B94" s="3">
        <v>0.48125000000000001</v>
      </c>
      <c r="C94" s="3">
        <v>0.48402777777777778</v>
      </c>
      <c r="E94" t="s">
        <v>16</v>
      </c>
      <c r="F94" t="s">
        <v>312</v>
      </c>
      <c r="G94" t="s">
        <v>490</v>
      </c>
      <c r="H94" t="s">
        <v>276</v>
      </c>
      <c r="I94" t="s">
        <v>312</v>
      </c>
      <c r="J94" t="s">
        <v>277</v>
      </c>
      <c r="K94" t="s">
        <v>278</v>
      </c>
      <c r="M94" s="4">
        <v>2.7777777777777779E-3</v>
      </c>
    </row>
    <row r="95" spans="1:13" x14ac:dyDescent="0.3">
      <c r="A95" s="2"/>
      <c r="B95" s="3">
        <v>0.48055555555555557</v>
      </c>
      <c r="C95" s="3">
        <v>0.48125000000000001</v>
      </c>
      <c r="E95" t="s">
        <v>16</v>
      </c>
      <c r="F95" t="s">
        <v>647</v>
      </c>
      <c r="G95" t="s">
        <v>643</v>
      </c>
      <c r="H95" t="s">
        <v>280</v>
      </c>
      <c r="I95" t="s">
        <v>312</v>
      </c>
      <c r="J95" t="s">
        <v>281</v>
      </c>
      <c r="K95" t="s">
        <v>282</v>
      </c>
      <c r="M95" s="4">
        <v>6.9444444444444447E-4</v>
      </c>
    </row>
    <row r="96" spans="1:13" x14ac:dyDescent="0.3">
      <c r="A96" s="2"/>
      <c r="B96" s="3">
        <v>0.47361111111111109</v>
      </c>
      <c r="C96" s="3">
        <v>0.47430555555555554</v>
      </c>
      <c r="E96" t="s">
        <v>16</v>
      </c>
      <c r="F96" t="s">
        <v>312</v>
      </c>
      <c r="G96" t="s">
        <v>490</v>
      </c>
      <c r="H96" t="s">
        <v>283</v>
      </c>
      <c r="I96" t="s">
        <v>312</v>
      </c>
      <c r="J96" t="s">
        <v>284</v>
      </c>
      <c r="K96" t="s">
        <v>285</v>
      </c>
      <c r="M96" s="4">
        <v>6.9444444444444447E-4</v>
      </c>
    </row>
    <row r="97" spans="1:13" x14ac:dyDescent="0.3">
      <c r="A97" s="2"/>
      <c r="B97" s="3">
        <v>0.47847222222222224</v>
      </c>
      <c r="C97" s="3">
        <v>0.47916666666666669</v>
      </c>
      <c r="E97" t="s">
        <v>16</v>
      </c>
      <c r="F97" t="s">
        <v>646</v>
      </c>
      <c r="G97" t="s">
        <v>490</v>
      </c>
      <c r="H97" t="s">
        <v>286</v>
      </c>
      <c r="I97" t="s">
        <v>312</v>
      </c>
      <c r="J97" t="s">
        <v>287</v>
      </c>
      <c r="K97" t="s">
        <v>288</v>
      </c>
      <c r="M97" s="4">
        <v>6.9444444444444447E-4</v>
      </c>
    </row>
    <row r="98" spans="1:13" x14ac:dyDescent="0.3">
      <c r="A98" s="2"/>
      <c r="B98" s="3">
        <v>0.49652777777777779</v>
      </c>
      <c r="C98" s="3">
        <v>0.49722222222222223</v>
      </c>
      <c r="E98" t="s">
        <v>16</v>
      </c>
      <c r="F98" t="s">
        <v>646</v>
      </c>
      <c r="G98" t="s">
        <v>643</v>
      </c>
      <c r="H98" t="s">
        <v>289</v>
      </c>
      <c r="I98" t="s">
        <v>312</v>
      </c>
      <c r="J98" t="s">
        <v>290</v>
      </c>
      <c r="K98" t="s">
        <v>291</v>
      </c>
      <c r="M98" s="4">
        <v>6.9444444444444447E-4</v>
      </c>
    </row>
    <row r="99" spans="1:13" x14ac:dyDescent="0.3">
      <c r="A99" s="2">
        <v>45994</v>
      </c>
      <c r="B99" s="3">
        <v>0.4826388888888889</v>
      </c>
      <c r="C99" s="3">
        <v>0.48333333333333334</v>
      </c>
      <c r="D99" t="s">
        <v>15</v>
      </c>
      <c r="E99" t="s">
        <v>16</v>
      </c>
      <c r="F99" t="s">
        <v>646</v>
      </c>
      <c r="G99" t="s">
        <v>643</v>
      </c>
      <c r="H99" t="s">
        <v>294</v>
      </c>
      <c r="I99" t="s">
        <v>645</v>
      </c>
      <c r="J99" t="s">
        <v>295</v>
      </c>
      <c r="K99" t="s">
        <v>296</v>
      </c>
      <c r="M99" s="4">
        <v>6.9444444444444447E-4</v>
      </c>
    </row>
    <row r="100" spans="1:13" x14ac:dyDescent="0.3">
      <c r="A100" s="2">
        <v>45994</v>
      </c>
      <c r="B100" s="3">
        <v>0.48333333333333334</v>
      </c>
      <c r="C100" s="3">
        <v>0.48472222222222222</v>
      </c>
      <c r="D100" t="s">
        <v>15</v>
      </c>
      <c r="E100" t="s">
        <v>16</v>
      </c>
      <c r="F100" t="s">
        <v>646</v>
      </c>
      <c r="G100" t="s">
        <v>134</v>
      </c>
      <c r="H100" t="s">
        <v>297</v>
      </c>
      <c r="I100" t="s">
        <v>312</v>
      </c>
      <c r="J100" t="s">
        <v>298</v>
      </c>
      <c r="K100" t="s">
        <v>299</v>
      </c>
      <c r="M100" s="4">
        <v>1.3888888888888889E-3</v>
      </c>
    </row>
    <row r="101" spans="1:13" x14ac:dyDescent="0.3">
      <c r="A101" s="2">
        <v>45994</v>
      </c>
      <c r="B101" s="3">
        <v>0.47986111111111113</v>
      </c>
      <c r="C101" s="3">
        <v>0.4826388888888889</v>
      </c>
      <c r="D101" t="s">
        <v>15</v>
      </c>
      <c r="E101" t="s">
        <v>16</v>
      </c>
      <c r="F101" t="s">
        <v>646</v>
      </c>
      <c r="G101" t="s">
        <v>643</v>
      </c>
      <c r="H101" t="s">
        <v>300</v>
      </c>
      <c r="I101" t="s">
        <v>312</v>
      </c>
      <c r="J101" t="s">
        <v>301</v>
      </c>
      <c r="K101" t="s">
        <v>302</v>
      </c>
      <c r="M101" s="4">
        <v>2.7777777777777779E-3</v>
      </c>
    </row>
    <row r="102" spans="1:13" x14ac:dyDescent="0.3">
      <c r="A102" s="2">
        <v>45994</v>
      </c>
      <c r="B102" s="3">
        <v>0.43819444444444444</v>
      </c>
      <c r="C102" s="3">
        <v>0.44166666666666665</v>
      </c>
      <c r="D102" t="s">
        <v>15</v>
      </c>
      <c r="E102" t="s">
        <v>16</v>
      </c>
      <c r="F102" t="s">
        <v>642</v>
      </c>
      <c r="G102" t="s">
        <v>643</v>
      </c>
      <c r="H102" t="s">
        <v>303</v>
      </c>
      <c r="I102" t="s">
        <v>645</v>
      </c>
      <c r="J102" t="s">
        <v>304</v>
      </c>
      <c r="K102" t="s">
        <v>305</v>
      </c>
      <c r="M102" s="4">
        <v>3.472222222222222E-3</v>
      </c>
    </row>
    <row r="103" spans="1:13" x14ac:dyDescent="0.3">
      <c r="A103" s="2">
        <v>45994</v>
      </c>
      <c r="B103" s="3">
        <v>0.4375</v>
      </c>
      <c r="C103" s="3">
        <v>0.43819444444444444</v>
      </c>
      <c r="D103" t="s">
        <v>15</v>
      </c>
      <c r="E103" t="s">
        <v>16</v>
      </c>
      <c r="F103" t="s">
        <v>642</v>
      </c>
      <c r="G103" t="s">
        <v>643</v>
      </c>
      <c r="H103" t="s">
        <v>306</v>
      </c>
      <c r="I103" t="s">
        <v>645</v>
      </c>
      <c r="J103" t="s">
        <v>307</v>
      </c>
      <c r="K103" t="s">
        <v>308</v>
      </c>
      <c r="M103" s="4">
        <v>6.9444444444444447E-4</v>
      </c>
    </row>
    <row r="104" spans="1:13" x14ac:dyDescent="0.3">
      <c r="A104" s="2">
        <v>45996</v>
      </c>
      <c r="B104" s="3">
        <v>0.5</v>
      </c>
      <c r="C104" s="3">
        <v>0.58333333333333337</v>
      </c>
      <c r="D104" t="s">
        <v>309</v>
      </c>
      <c r="E104" t="s">
        <v>16</v>
      </c>
      <c r="F104" t="s">
        <v>312</v>
      </c>
      <c r="G104" t="s">
        <v>312</v>
      </c>
      <c r="H104" t="s">
        <v>271</v>
      </c>
      <c r="I104" t="s">
        <v>312</v>
      </c>
      <c r="J104" t="s">
        <v>310</v>
      </c>
      <c r="K104" t="s">
        <v>311</v>
      </c>
      <c r="M104" s="4"/>
    </row>
    <row r="105" spans="1:13" x14ac:dyDescent="0.3">
      <c r="A105" s="2">
        <v>45996</v>
      </c>
      <c r="B105" s="3">
        <v>0.5</v>
      </c>
      <c r="C105" s="3">
        <v>0.58333333333333337</v>
      </c>
      <c r="D105" t="s">
        <v>309</v>
      </c>
      <c r="E105" t="s">
        <v>16</v>
      </c>
      <c r="F105" t="s">
        <v>312</v>
      </c>
      <c r="G105" t="s">
        <v>312</v>
      </c>
      <c r="H105" t="s">
        <v>312</v>
      </c>
      <c r="I105" t="s">
        <v>312</v>
      </c>
      <c r="J105" t="s">
        <v>310</v>
      </c>
      <c r="K105" t="s">
        <v>313</v>
      </c>
      <c r="M105" s="4"/>
    </row>
    <row r="106" spans="1:13" x14ac:dyDescent="0.3">
      <c r="A106" s="2">
        <v>45973</v>
      </c>
      <c r="B106" s="3">
        <v>0.4777777777777778</v>
      </c>
      <c r="C106" s="3">
        <v>0.47916666666666669</v>
      </c>
      <c r="D106" t="s">
        <v>15</v>
      </c>
      <c r="E106" t="s">
        <v>16</v>
      </c>
      <c r="F106" t="s">
        <v>646</v>
      </c>
      <c r="G106" t="s">
        <v>643</v>
      </c>
      <c r="H106" t="s">
        <v>314</v>
      </c>
      <c r="I106" t="s">
        <v>645</v>
      </c>
      <c r="J106" t="s">
        <v>315</v>
      </c>
      <c r="K106" t="s">
        <v>316</v>
      </c>
      <c r="M106" s="4">
        <v>1.3888888888888889E-3</v>
      </c>
    </row>
    <row r="107" spans="1:13" x14ac:dyDescent="0.3">
      <c r="A107" s="2">
        <v>45966</v>
      </c>
      <c r="B107" s="3">
        <v>0.46944444444444444</v>
      </c>
      <c r="C107" s="3">
        <v>0.47083333333333333</v>
      </c>
      <c r="D107" t="s">
        <v>15</v>
      </c>
      <c r="E107" t="s">
        <v>16</v>
      </c>
      <c r="F107" t="s">
        <v>646</v>
      </c>
      <c r="G107" t="s">
        <v>643</v>
      </c>
      <c r="H107" t="s">
        <v>317</v>
      </c>
      <c r="I107" t="s">
        <v>645</v>
      </c>
      <c r="J107" t="s">
        <v>318</v>
      </c>
      <c r="K107" t="s">
        <v>319</v>
      </c>
      <c r="M107" s="4">
        <v>1.3888888888888889E-3</v>
      </c>
    </row>
    <row r="108" spans="1:13" x14ac:dyDescent="0.3">
      <c r="A108" s="2">
        <v>45984</v>
      </c>
      <c r="B108" s="3">
        <v>0.58472222222222225</v>
      </c>
      <c r="C108" s="3">
        <v>0.5854166666666667</v>
      </c>
      <c r="D108" t="s">
        <v>15</v>
      </c>
      <c r="E108" t="s">
        <v>16</v>
      </c>
      <c r="F108" t="s">
        <v>646</v>
      </c>
      <c r="G108" t="s">
        <v>134</v>
      </c>
      <c r="I108" t="s">
        <v>312</v>
      </c>
      <c r="J108" t="s">
        <v>320</v>
      </c>
      <c r="K108" t="s">
        <v>321</v>
      </c>
      <c r="M108" s="4">
        <v>6.9444444444444447E-4</v>
      </c>
    </row>
    <row r="109" spans="1:13" x14ac:dyDescent="0.3">
      <c r="A109" s="2">
        <v>45984</v>
      </c>
      <c r="B109" s="3">
        <v>0.62986111111111109</v>
      </c>
      <c r="C109" s="3">
        <v>0.63124999999999998</v>
      </c>
      <c r="D109" t="s">
        <v>648</v>
      </c>
      <c r="E109" t="s">
        <v>16</v>
      </c>
      <c r="F109" t="s">
        <v>642</v>
      </c>
      <c r="G109" t="s">
        <v>134</v>
      </c>
      <c r="I109" t="s">
        <v>312</v>
      </c>
      <c r="J109" t="s">
        <v>323</v>
      </c>
      <c r="K109" t="s">
        <v>324</v>
      </c>
      <c r="M109" s="4">
        <v>1.3888888888888889E-3</v>
      </c>
    </row>
    <row r="110" spans="1:13" x14ac:dyDescent="0.3">
      <c r="A110" s="2">
        <v>45966</v>
      </c>
      <c r="B110" s="3">
        <v>0.46875</v>
      </c>
      <c r="C110" s="3">
        <v>0.47569444444444442</v>
      </c>
      <c r="D110" t="s">
        <v>15</v>
      </c>
      <c r="E110" t="s">
        <v>16</v>
      </c>
      <c r="F110" t="s">
        <v>647</v>
      </c>
      <c r="G110" t="s">
        <v>643</v>
      </c>
      <c r="H110" t="s">
        <v>325</v>
      </c>
      <c r="I110" t="s">
        <v>645</v>
      </c>
      <c r="J110" t="s">
        <v>326</v>
      </c>
      <c r="K110" t="s">
        <v>327</v>
      </c>
      <c r="L110" t="s">
        <v>328</v>
      </c>
      <c r="M110" s="4">
        <v>6.9444444444444441E-3</v>
      </c>
    </row>
    <row r="111" spans="1:13" x14ac:dyDescent="0.3">
      <c r="A111" s="2">
        <v>45984</v>
      </c>
      <c r="B111" s="3">
        <v>0.61250000000000004</v>
      </c>
      <c r="C111" s="3">
        <v>0.61458333333333337</v>
      </c>
      <c r="D111" t="s">
        <v>648</v>
      </c>
      <c r="E111" t="s">
        <v>16</v>
      </c>
      <c r="F111" t="s">
        <v>646</v>
      </c>
      <c r="G111" t="s">
        <v>312</v>
      </c>
      <c r="I111" t="s">
        <v>312</v>
      </c>
      <c r="J111" t="s">
        <v>329</v>
      </c>
      <c r="K111" t="s">
        <v>330</v>
      </c>
      <c r="M111" s="4">
        <v>2.0833333333333333E-3</v>
      </c>
    </row>
    <row r="112" spans="1:13" x14ac:dyDescent="0.3">
      <c r="A112" s="2">
        <v>45966</v>
      </c>
      <c r="B112" s="3">
        <v>0.4826388888888889</v>
      </c>
      <c r="C112" s="3">
        <v>0.48749999999999999</v>
      </c>
      <c r="D112" t="s">
        <v>15</v>
      </c>
      <c r="E112" t="s">
        <v>331</v>
      </c>
      <c r="F112" t="s">
        <v>646</v>
      </c>
      <c r="G112" t="s">
        <v>134</v>
      </c>
      <c r="H112" t="s">
        <v>333</v>
      </c>
      <c r="I112" t="s">
        <v>645</v>
      </c>
      <c r="J112" t="s">
        <v>335</v>
      </c>
      <c r="K112" t="s">
        <v>336</v>
      </c>
      <c r="M112" s="4">
        <v>4.8611111111111112E-3</v>
      </c>
    </row>
    <row r="113" spans="1:13" x14ac:dyDescent="0.3">
      <c r="A113" s="2">
        <v>45973</v>
      </c>
      <c r="B113" s="3">
        <v>0.48958333333333331</v>
      </c>
      <c r="C113" s="3">
        <v>0.49166666666666664</v>
      </c>
      <c r="D113" t="s">
        <v>15</v>
      </c>
      <c r="E113" t="s">
        <v>331</v>
      </c>
      <c r="F113" t="s">
        <v>642</v>
      </c>
      <c r="G113" t="s">
        <v>643</v>
      </c>
      <c r="H113" t="s">
        <v>113</v>
      </c>
      <c r="I113" t="s">
        <v>645</v>
      </c>
      <c r="J113" t="s">
        <v>338</v>
      </c>
      <c r="K113" t="s">
        <v>339</v>
      </c>
      <c r="M113" s="4">
        <v>2.0833333333333333E-3</v>
      </c>
    </row>
    <row r="114" spans="1:13" x14ac:dyDescent="0.3">
      <c r="A114" s="2">
        <v>45968</v>
      </c>
      <c r="B114" s="3">
        <v>0.51111111111111107</v>
      </c>
      <c r="C114" s="3">
        <v>0.51180555555555551</v>
      </c>
      <c r="D114" t="s">
        <v>115</v>
      </c>
      <c r="E114" t="s">
        <v>331</v>
      </c>
      <c r="F114" t="s">
        <v>642</v>
      </c>
      <c r="G114" t="s">
        <v>643</v>
      </c>
      <c r="I114" t="s">
        <v>645</v>
      </c>
      <c r="J114" t="s">
        <v>340</v>
      </c>
      <c r="K114" t="s">
        <v>341</v>
      </c>
      <c r="L114" t="s">
        <v>342</v>
      </c>
      <c r="M114" s="4">
        <v>6.9444444444444447E-4</v>
      </c>
    </row>
    <row r="115" spans="1:13" x14ac:dyDescent="0.3">
      <c r="A115" s="2">
        <v>45980</v>
      </c>
      <c r="B115" s="3">
        <v>0.625</v>
      </c>
      <c r="C115" s="3">
        <v>0.62569444444444444</v>
      </c>
      <c r="D115" t="s">
        <v>15</v>
      </c>
      <c r="E115" t="s">
        <v>331</v>
      </c>
      <c r="F115" t="s">
        <v>642</v>
      </c>
      <c r="G115" t="s">
        <v>134</v>
      </c>
      <c r="H115" t="s">
        <v>344</v>
      </c>
      <c r="I115" t="s">
        <v>645</v>
      </c>
      <c r="J115" t="s">
        <v>345</v>
      </c>
      <c r="K115" t="s">
        <v>341</v>
      </c>
      <c r="L115" t="s">
        <v>346</v>
      </c>
      <c r="M115" s="4">
        <v>6.9444444444444447E-4</v>
      </c>
    </row>
    <row r="116" spans="1:13" x14ac:dyDescent="0.3">
      <c r="A116" s="2">
        <v>45980</v>
      </c>
      <c r="B116" s="3">
        <v>0.60972222222222228</v>
      </c>
      <c r="C116" s="3">
        <v>0.61111111111111116</v>
      </c>
      <c r="D116" t="s">
        <v>15</v>
      </c>
      <c r="E116" t="s">
        <v>331</v>
      </c>
      <c r="F116" t="s">
        <v>642</v>
      </c>
      <c r="G116" t="s">
        <v>490</v>
      </c>
      <c r="H116" t="s">
        <v>347</v>
      </c>
      <c r="I116" t="s">
        <v>645</v>
      </c>
      <c r="J116" t="s">
        <v>348</v>
      </c>
      <c r="K116" t="s">
        <v>349</v>
      </c>
      <c r="L116" t="s">
        <v>350</v>
      </c>
      <c r="M116" s="4">
        <v>1.3888888888888889E-3</v>
      </c>
    </row>
    <row r="117" spans="1:13" x14ac:dyDescent="0.3">
      <c r="A117" s="2">
        <v>45980</v>
      </c>
      <c r="B117" s="3">
        <v>0.60972222222222228</v>
      </c>
      <c r="C117" s="3">
        <v>0.6118055555555556</v>
      </c>
      <c r="D117" t="s">
        <v>15</v>
      </c>
      <c r="E117" t="s">
        <v>331</v>
      </c>
      <c r="F117" t="s">
        <v>642</v>
      </c>
      <c r="G117" t="s">
        <v>643</v>
      </c>
      <c r="H117" t="s">
        <v>40</v>
      </c>
      <c r="I117" t="s">
        <v>645</v>
      </c>
      <c r="J117" t="s">
        <v>351</v>
      </c>
      <c r="K117" t="s">
        <v>352</v>
      </c>
      <c r="L117" t="s">
        <v>353</v>
      </c>
      <c r="M117" s="4">
        <v>2.0833333333333333E-3</v>
      </c>
    </row>
    <row r="118" spans="1:13" x14ac:dyDescent="0.3">
      <c r="A118" s="2">
        <v>45973</v>
      </c>
      <c r="B118" s="3">
        <v>0.49305555555555558</v>
      </c>
      <c r="C118" s="3">
        <v>0.49444444444444446</v>
      </c>
      <c r="D118" t="s">
        <v>15</v>
      </c>
      <c r="E118" t="s">
        <v>331</v>
      </c>
      <c r="F118" t="s">
        <v>642</v>
      </c>
      <c r="G118" t="s">
        <v>490</v>
      </c>
      <c r="H118" t="s">
        <v>354</v>
      </c>
      <c r="I118" t="s">
        <v>645</v>
      </c>
      <c r="J118" t="s">
        <v>355</v>
      </c>
      <c r="K118" t="s">
        <v>356</v>
      </c>
      <c r="L118" t="s">
        <v>357</v>
      </c>
      <c r="M118" s="4">
        <v>1.3888888888888889E-3</v>
      </c>
    </row>
    <row r="119" spans="1:13" x14ac:dyDescent="0.3">
      <c r="A119" s="2"/>
      <c r="B119" s="3">
        <v>0.49722222222222223</v>
      </c>
      <c r="C119" s="3">
        <v>0.49791666666666667</v>
      </c>
      <c r="D119" t="s">
        <v>15</v>
      </c>
      <c r="E119" t="s">
        <v>331</v>
      </c>
      <c r="F119" t="s">
        <v>642</v>
      </c>
      <c r="G119" t="s">
        <v>643</v>
      </c>
      <c r="H119" t="s">
        <v>50</v>
      </c>
      <c r="I119" t="s">
        <v>645</v>
      </c>
      <c r="J119" t="s">
        <v>358</v>
      </c>
      <c r="K119" t="s">
        <v>359</v>
      </c>
      <c r="L119" t="s">
        <v>360</v>
      </c>
      <c r="M119" s="4">
        <v>6.9444444444444447E-4</v>
      </c>
    </row>
    <row r="120" spans="1:13" x14ac:dyDescent="0.3">
      <c r="A120" s="2">
        <v>45984</v>
      </c>
      <c r="B120" s="3">
        <v>0.60347222222222219</v>
      </c>
      <c r="C120" s="3">
        <v>0.60416666666666663</v>
      </c>
      <c r="D120" t="s">
        <v>361</v>
      </c>
      <c r="E120" t="s">
        <v>331</v>
      </c>
      <c r="F120" t="s">
        <v>646</v>
      </c>
      <c r="G120" t="s">
        <v>490</v>
      </c>
      <c r="I120" t="s">
        <v>644</v>
      </c>
      <c r="J120" t="s">
        <v>363</v>
      </c>
      <c r="K120" t="s">
        <v>364</v>
      </c>
      <c r="M120" s="4">
        <v>6.9444444444444447E-4</v>
      </c>
    </row>
    <row r="121" spans="1:13" x14ac:dyDescent="0.3">
      <c r="A121" s="2">
        <v>45966</v>
      </c>
      <c r="B121" s="3"/>
      <c r="C121" s="3"/>
      <c r="D121" t="s">
        <v>15</v>
      </c>
      <c r="E121" t="s">
        <v>331</v>
      </c>
      <c r="F121" t="s">
        <v>312</v>
      </c>
      <c r="G121" t="s">
        <v>312</v>
      </c>
      <c r="I121" t="s">
        <v>312</v>
      </c>
      <c r="L121" t="s">
        <v>365</v>
      </c>
      <c r="M121" s="4"/>
    </row>
    <row r="122" spans="1:13" x14ac:dyDescent="0.3">
      <c r="A122" s="2">
        <v>45973</v>
      </c>
      <c r="B122" s="3">
        <v>0.46180555555555558</v>
      </c>
      <c r="C122" s="3">
        <v>0.46875</v>
      </c>
      <c r="D122" t="s">
        <v>15</v>
      </c>
      <c r="E122" t="s">
        <v>331</v>
      </c>
      <c r="F122" t="s">
        <v>646</v>
      </c>
      <c r="G122" t="s">
        <v>643</v>
      </c>
      <c r="H122" t="s">
        <v>300</v>
      </c>
      <c r="I122" t="s">
        <v>645</v>
      </c>
      <c r="J122" t="s">
        <v>366</v>
      </c>
      <c r="K122" t="s">
        <v>367</v>
      </c>
      <c r="L122" t="s">
        <v>368</v>
      </c>
      <c r="M122" s="4">
        <v>6.9444444444444441E-3</v>
      </c>
    </row>
    <row r="123" spans="1:13" x14ac:dyDescent="0.3">
      <c r="A123" s="2"/>
      <c r="B123" s="3">
        <v>0.61458333333333337</v>
      </c>
      <c r="C123" s="3">
        <v>0.61527777777777781</v>
      </c>
      <c r="D123" t="s">
        <v>361</v>
      </c>
      <c r="E123" t="s">
        <v>331</v>
      </c>
      <c r="F123" t="s">
        <v>646</v>
      </c>
      <c r="G123" t="s">
        <v>134</v>
      </c>
      <c r="I123" t="s">
        <v>645</v>
      </c>
      <c r="J123" t="s">
        <v>369</v>
      </c>
      <c r="K123" t="s">
        <v>369</v>
      </c>
      <c r="M123" s="4">
        <v>6.9444444444444447E-4</v>
      </c>
    </row>
    <row r="124" spans="1:13" x14ac:dyDescent="0.3">
      <c r="A124" s="2">
        <v>45966</v>
      </c>
      <c r="B124" s="3">
        <v>0.49652777777777779</v>
      </c>
      <c r="C124" s="3">
        <v>0.49791666666666667</v>
      </c>
      <c r="D124" t="s">
        <v>15</v>
      </c>
      <c r="E124" t="s">
        <v>331</v>
      </c>
      <c r="F124" t="s">
        <v>642</v>
      </c>
      <c r="G124" t="s">
        <v>643</v>
      </c>
      <c r="H124" t="s">
        <v>50</v>
      </c>
      <c r="I124" t="s">
        <v>645</v>
      </c>
      <c r="J124" t="s">
        <v>370</v>
      </c>
      <c r="K124" t="s">
        <v>370</v>
      </c>
      <c r="L124" t="s">
        <v>371</v>
      </c>
      <c r="M124" s="4">
        <v>1.3888888888888889E-3</v>
      </c>
    </row>
    <row r="125" spans="1:13" x14ac:dyDescent="0.3">
      <c r="A125" s="2">
        <v>45973</v>
      </c>
      <c r="B125" s="3">
        <v>0.46736111111111112</v>
      </c>
      <c r="C125" s="3">
        <v>0.46875</v>
      </c>
      <c r="D125" t="s">
        <v>15</v>
      </c>
      <c r="E125" t="s">
        <v>331</v>
      </c>
      <c r="F125" t="s">
        <v>642</v>
      </c>
      <c r="G125" t="s">
        <v>643</v>
      </c>
      <c r="H125" t="s">
        <v>82</v>
      </c>
      <c r="I125" t="s">
        <v>644</v>
      </c>
      <c r="J125" t="s">
        <v>372</v>
      </c>
      <c r="K125" t="s">
        <v>372</v>
      </c>
      <c r="L125" t="s">
        <v>373</v>
      </c>
      <c r="M125" s="4">
        <v>1.3888888888888889E-3</v>
      </c>
    </row>
    <row r="126" spans="1:13" x14ac:dyDescent="0.3">
      <c r="A126" s="2">
        <v>45966</v>
      </c>
      <c r="B126" s="3">
        <v>0.49305555555555558</v>
      </c>
      <c r="C126" s="3">
        <v>0.49444444444444446</v>
      </c>
      <c r="D126" t="s">
        <v>15</v>
      </c>
      <c r="E126" t="s">
        <v>331</v>
      </c>
      <c r="F126" t="s">
        <v>646</v>
      </c>
      <c r="G126" t="s">
        <v>134</v>
      </c>
      <c r="H126" t="s">
        <v>374</v>
      </c>
      <c r="I126" t="s">
        <v>645</v>
      </c>
      <c r="J126" t="s">
        <v>375</v>
      </c>
      <c r="K126" t="s">
        <v>376</v>
      </c>
      <c r="M126" s="4">
        <v>1.3888888888888889E-3</v>
      </c>
    </row>
    <row r="127" spans="1:13" x14ac:dyDescent="0.3">
      <c r="A127" s="2">
        <v>45981</v>
      </c>
      <c r="B127" s="3">
        <v>0.5180555555555556</v>
      </c>
      <c r="C127" s="3">
        <v>0.51944444444444449</v>
      </c>
      <c r="D127" t="s">
        <v>115</v>
      </c>
      <c r="E127" t="s">
        <v>331</v>
      </c>
      <c r="F127" t="s">
        <v>642</v>
      </c>
      <c r="G127" t="s">
        <v>134</v>
      </c>
      <c r="H127" t="s">
        <v>377</v>
      </c>
      <c r="I127" t="s">
        <v>645</v>
      </c>
      <c r="J127" t="s">
        <v>379</v>
      </c>
      <c r="K127" t="s">
        <v>380</v>
      </c>
      <c r="M127" s="4">
        <v>1.3888888888888889E-3</v>
      </c>
    </row>
    <row r="128" spans="1:13" x14ac:dyDescent="0.3">
      <c r="A128" s="2">
        <v>45973</v>
      </c>
      <c r="B128" s="3">
        <v>0.48958333333333331</v>
      </c>
      <c r="C128" s="3">
        <v>0.49027777777777776</v>
      </c>
      <c r="D128" t="s">
        <v>15</v>
      </c>
      <c r="E128" t="s">
        <v>331</v>
      </c>
      <c r="F128" t="s">
        <v>646</v>
      </c>
      <c r="G128" t="s">
        <v>134</v>
      </c>
      <c r="H128" t="s">
        <v>381</v>
      </c>
      <c r="I128" t="s">
        <v>645</v>
      </c>
      <c r="J128" t="s">
        <v>383</v>
      </c>
      <c r="K128" t="s">
        <v>122</v>
      </c>
      <c r="M128" s="4">
        <v>6.9444444444444447E-4</v>
      </c>
    </row>
    <row r="129" spans="1:13" x14ac:dyDescent="0.3">
      <c r="A129" s="2">
        <v>45980</v>
      </c>
      <c r="B129" s="3">
        <v>0.64930555555555558</v>
      </c>
      <c r="C129" s="3">
        <v>0.65138888888888891</v>
      </c>
      <c r="D129" t="s">
        <v>15</v>
      </c>
      <c r="E129" t="s">
        <v>331</v>
      </c>
      <c r="F129" t="s">
        <v>642</v>
      </c>
      <c r="G129" t="s">
        <v>134</v>
      </c>
      <c r="H129" t="s">
        <v>384</v>
      </c>
      <c r="I129" t="s">
        <v>645</v>
      </c>
      <c r="J129" t="s">
        <v>385</v>
      </c>
      <c r="M129" s="4">
        <v>2.0833333333333333E-3</v>
      </c>
    </row>
    <row r="130" spans="1:13" x14ac:dyDescent="0.3">
      <c r="A130" s="2">
        <v>45980</v>
      </c>
      <c r="B130" s="3">
        <v>0.64861111111111114</v>
      </c>
      <c r="C130" s="3">
        <v>0.65069444444444446</v>
      </c>
      <c r="D130" t="s">
        <v>15</v>
      </c>
      <c r="E130" t="s">
        <v>331</v>
      </c>
      <c r="F130" t="s">
        <v>642</v>
      </c>
      <c r="G130" t="s">
        <v>643</v>
      </c>
      <c r="H130" t="s">
        <v>386</v>
      </c>
      <c r="I130" t="s">
        <v>644</v>
      </c>
      <c r="J130" t="s">
        <v>388</v>
      </c>
      <c r="K130" t="s">
        <v>122</v>
      </c>
      <c r="M130" s="4">
        <v>2.0833333333333333E-3</v>
      </c>
    </row>
    <row r="131" spans="1:13" x14ac:dyDescent="0.3">
      <c r="A131" s="2">
        <v>45980</v>
      </c>
      <c r="B131" s="3">
        <v>0.60833333333333328</v>
      </c>
      <c r="C131" s="3">
        <v>0.60902777777777772</v>
      </c>
      <c r="D131" t="s">
        <v>15</v>
      </c>
      <c r="E131" t="s">
        <v>331</v>
      </c>
      <c r="F131" t="s">
        <v>642</v>
      </c>
      <c r="G131" t="s">
        <v>134</v>
      </c>
      <c r="H131" t="s">
        <v>165</v>
      </c>
      <c r="I131" t="s">
        <v>645</v>
      </c>
      <c r="J131" t="s">
        <v>388</v>
      </c>
      <c r="K131" t="s">
        <v>122</v>
      </c>
      <c r="M131" s="4">
        <v>6.9444444444444447E-4</v>
      </c>
    </row>
    <row r="132" spans="1:13" x14ac:dyDescent="0.3">
      <c r="A132" s="2">
        <v>45980</v>
      </c>
      <c r="B132" s="3">
        <v>0.59166666666666667</v>
      </c>
      <c r="C132" s="3">
        <v>0.63402777777777775</v>
      </c>
      <c r="D132" t="s">
        <v>15</v>
      </c>
      <c r="E132" t="s">
        <v>331</v>
      </c>
      <c r="F132" t="s">
        <v>646</v>
      </c>
      <c r="G132" t="s">
        <v>490</v>
      </c>
      <c r="H132" t="s">
        <v>390</v>
      </c>
      <c r="I132" t="s">
        <v>312</v>
      </c>
      <c r="J132" t="s">
        <v>391</v>
      </c>
      <c r="K132" t="s">
        <v>391</v>
      </c>
      <c r="M132" s="4"/>
    </row>
    <row r="133" spans="1:13" x14ac:dyDescent="0.3">
      <c r="A133" s="2">
        <v>45966</v>
      </c>
      <c r="B133" s="3">
        <v>0.48819444444444443</v>
      </c>
      <c r="C133" s="3">
        <v>0.48958333333333331</v>
      </c>
      <c r="D133" t="s">
        <v>15</v>
      </c>
      <c r="E133" t="s">
        <v>331</v>
      </c>
      <c r="F133" t="s">
        <v>646</v>
      </c>
      <c r="G133" t="s">
        <v>134</v>
      </c>
      <c r="H133" t="s">
        <v>392</v>
      </c>
      <c r="I133" t="s">
        <v>645</v>
      </c>
      <c r="J133" t="s">
        <v>393</v>
      </c>
      <c r="K133" t="s">
        <v>393</v>
      </c>
      <c r="M133" s="4">
        <v>1.3888888888888889E-3</v>
      </c>
    </row>
    <row r="134" spans="1:13" x14ac:dyDescent="0.3">
      <c r="A134" s="2">
        <v>45984</v>
      </c>
      <c r="B134" s="3">
        <v>0.59583333333333333</v>
      </c>
      <c r="C134" s="3">
        <v>0.59722222222222221</v>
      </c>
      <c r="D134" t="s">
        <v>361</v>
      </c>
      <c r="E134" t="s">
        <v>331</v>
      </c>
      <c r="F134" t="s">
        <v>646</v>
      </c>
      <c r="G134" t="s">
        <v>312</v>
      </c>
      <c r="I134" t="s">
        <v>312</v>
      </c>
      <c r="J134" t="s">
        <v>394</v>
      </c>
      <c r="K134" t="s">
        <v>394</v>
      </c>
      <c r="M134" s="4">
        <v>1.3888888888888889E-3</v>
      </c>
    </row>
    <row r="135" spans="1:13" x14ac:dyDescent="0.3">
      <c r="A135" s="2">
        <v>45981</v>
      </c>
      <c r="B135" s="3">
        <v>0.48749999999999999</v>
      </c>
      <c r="C135" s="3">
        <v>0.48819444444444443</v>
      </c>
      <c r="D135" t="s">
        <v>28</v>
      </c>
      <c r="E135" t="s">
        <v>331</v>
      </c>
      <c r="F135" t="s">
        <v>646</v>
      </c>
      <c r="G135" t="s">
        <v>643</v>
      </c>
      <c r="H135" t="s">
        <v>386</v>
      </c>
      <c r="I135" t="s">
        <v>645</v>
      </c>
      <c r="J135" t="s">
        <v>395</v>
      </c>
      <c r="K135" t="s">
        <v>396</v>
      </c>
      <c r="L135" t="s">
        <v>397</v>
      </c>
      <c r="M135" s="4">
        <v>6.9444444444444447E-4</v>
      </c>
    </row>
    <row r="136" spans="1:13" x14ac:dyDescent="0.3">
      <c r="A136" s="2">
        <v>45973</v>
      </c>
      <c r="B136" s="3">
        <v>0.45069444444444445</v>
      </c>
      <c r="C136" s="3">
        <v>0.4513888888888889</v>
      </c>
      <c r="D136" t="s">
        <v>15</v>
      </c>
      <c r="E136" t="s">
        <v>331</v>
      </c>
      <c r="F136" t="s">
        <v>642</v>
      </c>
      <c r="G136" t="s">
        <v>490</v>
      </c>
      <c r="H136" t="s">
        <v>398</v>
      </c>
      <c r="I136" t="s">
        <v>645</v>
      </c>
      <c r="J136" t="s">
        <v>399</v>
      </c>
      <c r="K136" t="s">
        <v>400</v>
      </c>
      <c r="M136" s="4">
        <v>6.9444444444444447E-4</v>
      </c>
    </row>
    <row r="137" spans="1:13" x14ac:dyDescent="0.3">
      <c r="A137" s="2">
        <v>45973</v>
      </c>
      <c r="B137" s="3">
        <v>0.49652777777777779</v>
      </c>
      <c r="C137" s="3">
        <v>0.49930555555555556</v>
      </c>
      <c r="D137" t="s">
        <v>15</v>
      </c>
      <c r="E137" t="s">
        <v>331</v>
      </c>
      <c r="F137" t="s">
        <v>642</v>
      </c>
      <c r="G137" t="s">
        <v>643</v>
      </c>
      <c r="H137" t="s">
        <v>401</v>
      </c>
      <c r="I137" t="s">
        <v>645</v>
      </c>
      <c r="J137" t="s">
        <v>402</v>
      </c>
      <c r="M137" s="4">
        <v>2.7777777777777779E-3</v>
      </c>
    </row>
    <row r="138" spans="1:13" x14ac:dyDescent="0.3">
      <c r="A138" s="2">
        <v>45966</v>
      </c>
      <c r="B138" s="3">
        <v>0.52777777777777779</v>
      </c>
      <c r="C138" s="3">
        <v>0.52847222222222223</v>
      </c>
      <c r="D138" t="s">
        <v>15</v>
      </c>
      <c r="E138" t="s">
        <v>331</v>
      </c>
      <c r="F138" t="s">
        <v>642</v>
      </c>
      <c r="G138" t="s">
        <v>134</v>
      </c>
      <c r="H138" t="s">
        <v>138</v>
      </c>
      <c r="I138" t="s">
        <v>645</v>
      </c>
      <c r="J138" t="s">
        <v>403</v>
      </c>
      <c r="K138" t="s">
        <v>404</v>
      </c>
      <c r="L138" t="s">
        <v>405</v>
      </c>
      <c r="M138" s="4">
        <v>6.9444444444444447E-4</v>
      </c>
    </row>
    <row r="139" spans="1:13" x14ac:dyDescent="0.3">
      <c r="A139" s="2">
        <v>45984</v>
      </c>
      <c r="B139" s="3">
        <v>0.6069444444444444</v>
      </c>
      <c r="C139" s="3">
        <v>0.6069444444444444</v>
      </c>
      <c r="D139" t="s">
        <v>361</v>
      </c>
      <c r="E139" t="s">
        <v>331</v>
      </c>
      <c r="F139" t="s">
        <v>646</v>
      </c>
      <c r="G139" t="s">
        <v>134</v>
      </c>
      <c r="I139" t="s">
        <v>312</v>
      </c>
      <c r="J139" t="s">
        <v>406</v>
      </c>
      <c r="K139" t="s">
        <v>122</v>
      </c>
      <c r="M139" s="4">
        <v>0</v>
      </c>
    </row>
    <row r="140" spans="1:13" x14ac:dyDescent="0.3">
      <c r="A140" s="2">
        <v>45984</v>
      </c>
      <c r="B140" s="3">
        <v>0.60486111111111107</v>
      </c>
      <c r="C140" s="3">
        <v>0.60555555555555551</v>
      </c>
      <c r="D140" t="s">
        <v>361</v>
      </c>
      <c r="E140" t="s">
        <v>331</v>
      </c>
      <c r="F140" t="s">
        <v>646</v>
      </c>
      <c r="G140" t="s">
        <v>312</v>
      </c>
      <c r="I140" t="s">
        <v>312</v>
      </c>
      <c r="J140" t="s">
        <v>407</v>
      </c>
      <c r="K140" t="s">
        <v>408</v>
      </c>
      <c r="M140" s="4">
        <v>6.9444444444444447E-4</v>
      </c>
    </row>
    <row r="141" spans="1:13" x14ac:dyDescent="0.3">
      <c r="A141" s="2">
        <v>45997</v>
      </c>
      <c r="B141" s="3">
        <v>0.51944444444444449</v>
      </c>
      <c r="C141" s="3">
        <v>0.52152777777777781</v>
      </c>
      <c r="D141" t="s">
        <v>409</v>
      </c>
      <c r="E141" t="s">
        <v>331</v>
      </c>
      <c r="F141" t="s">
        <v>642</v>
      </c>
      <c r="G141" t="s">
        <v>490</v>
      </c>
      <c r="I141" t="s">
        <v>645</v>
      </c>
      <c r="J141" t="s">
        <v>410</v>
      </c>
      <c r="K141" t="s">
        <v>411</v>
      </c>
      <c r="L141" t="s">
        <v>412</v>
      </c>
      <c r="M141" s="4">
        <v>2.0833333333333333E-3</v>
      </c>
    </row>
    <row r="142" spans="1:13" x14ac:dyDescent="0.3">
      <c r="A142" s="2">
        <v>45973</v>
      </c>
      <c r="B142" s="3">
        <v>0.49652777777777779</v>
      </c>
      <c r="C142" s="3">
        <v>0.49930555555555556</v>
      </c>
      <c r="E142" t="s">
        <v>331</v>
      </c>
      <c r="F142" t="s">
        <v>642</v>
      </c>
      <c r="G142" t="s">
        <v>643</v>
      </c>
      <c r="H142" t="s">
        <v>40</v>
      </c>
      <c r="I142" t="s">
        <v>645</v>
      </c>
      <c r="J142" t="s">
        <v>413</v>
      </c>
      <c r="K142" t="s">
        <v>413</v>
      </c>
      <c r="M142" s="4">
        <v>2.7777777777777779E-3</v>
      </c>
    </row>
    <row r="143" spans="1:13" x14ac:dyDescent="0.3">
      <c r="A143" s="2">
        <v>45993</v>
      </c>
      <c r="B143" s="3">
        <v>0.50069444444444444</v>
      </c>
      <c r="C143" s="3">
        <v>0.50208333333333333</v>
      </c>
      <c r="E143" t="s">
        <v>331</v>
      </c>
      <c r="F143" t="s">
        <v>642</v>
      </c>
      <c r="G143" t="s">
        <v>134</v>
      </c>
      <c r="H143" t="s">
        <v>414</v>
      </c>
      <c r="I143" t="s">
        <v>645</v>
      </c>
      <c r="J143" t="s">
        <v>415</v>
      </c>
      <c r="K143" t="s">
        <v>415</v>
      </c>
      <c r="M143" s="4">
        <v>1.3888888888888889E-3</v>
      </c>
    </row>
    <row r="144" spans="1:13" x14ac:dyDescent="0.3">
      <c r="A144" s="2">
        <v>45993</v>
      </c>
      <c r="B144" s="3">
        <v>0.50416666666666665</v>
      </c>
      <c r="C144" s="3">
        <v>0.50486111111111109</v>
      </c>
      <c r="E144" t="s">
        <v>331</v>
      </c>
      <c r="F144" t="s">
        <v>642</v>
      </c>
      <c r="G144" t="s">
        <v>643</v>
      </c>
      <c r="H144" t="s">
        <v>47</v>
      </c>
      <c r="I144" t="s">
        <v>645</v>
      </c>
      <c r="J144" t="s">
        <v>416</v>
      </c>
      <c r="K144" t="s">
        <v>416</v>
      </c>
      <c r="M144" s="4">
        <v>6.9444444444444447E-4</v>
      </c>
    </row>
    <row r="145" spans="1:13" x14ac:dyDescent="0.3">
      <c r="A145" s="2">
        <v>45993</v>
      </c>
      <c r="B145" s="3">
        <v>0.50624999999999998</v>
      </c>
      <c r="C145" s="3">
        <v>0.50694444444444442</v>
      </c>
      <c r="E145" t="s">
        <v>331</v>
      </c>
      <c r="F145" t="s">
        <v>646</v>
      </c>
      <c r="G145" t="s">
        <v>134</v>
      </c>
      <c r="H145" t="s">
        <v>417</v>
      </c>
      <c r="I145" t="s">
        <v>645</v>
      </c>
      <c r="J145" t="s">
        <v>418</v>
      </c>
      <c r="K145" t="s">
        <v>418</v>
      </c>
      <c r="M145" s="4">
        <v>6.9444444444444447E-4</v>
      </c>
    </row>
    <row r="146" spans="1:13" x14ac:dyDescent="0.3">
      <c r="A146" s="2">
        <v>45993</v>
      </c>
      <c r="B146" s="3">
        <v>0.50972222222222219</v>
      </c>
      <c r="C146" s="3">
        <v>0.50972222222222219</v>
      </c>
      <c r="E146" t="s">
        <v>331</v>
      </c>
      <c r="F146" t="s">
        <v>646</v>
      </c>
      <c r="G146" t="s">
        <v>134</v>
      </c>
      <c r="H146" t="s">
        <v>419</v>
      </c>
      <c r="I146" t="s">
        <v>645</v>
      </c>
      <c r="J146" t="s">
        <v>420</v>
      </c>
      <c r="K146" t="s">
        <v>122</v>
      </c>
      <c r="L146" t="s">
        <v>421</v>
      </c>
      <c r="M146" s="4">
        <v>0</v>
      </c>
    </row>
    <row r="147" spans="1:13" x14ac:dyDescent="0.3">
      <c r="A147" s="2">
        <v>45993</v>
      </c>
      <c r="B147" s="3">
        <v>0.51111111111111107</v>
      </c>
      <c r="C147" s="3">
        <v>0.51111111111111107</v>
      </c>
      <c r="E147" t="s">
        <v>331</v>
      </c>
      <c r="F147" t="s">
        <v>646</v>
      </c>
      <c r="G147" t="s">
        <v>134</v>
      </c>
      <c r="H147" t="s">
        <v>422</v>
      </c>
      <c r="I147" t="s">
        <v>645</v>
      </c>
      <c r="J147" t="s">
        <v>423</v>
      </c>
      <c r="K147" t="s">
        <v>423</v>
      </c>
      <c r="M147" s="4">
        <v>0</v>
      </c>
    </row>
    <row r="148" spans="1:13" x14ac:dyDescent="0.3">
      <c r="A148" s="2"/>
      <c r="B148" s="3">
        <v>0.51527777777777772</v>
      </c>
      <c r="C148" s="3">
        <v>0.51527777777777772</v>
      </c>
      <c r="E148" t="s">
        <v>331</v>
      </c>
      <c r="F148" t="s">
        <v>646</v>
      </c>
      <c r="G148" t="s">
        <v>134</v>
      </c>
      <c r="H148" t="s">
        <v>424</v>
      </c>
      <c r="I148" t="s">
        <v>644</v>
      </c>
      <c r="J148" t="s">
        <v>425</v>
      </c>
      <c r="K148" t="s">
        <v>426</v>
      </c>
      <c r="L148" t="s">
        <v>427</v>
      </c>
      <c r="M148" s="4">
        <v>0</v>
      </c>
    </row>
    <row r="149" spans="1:13" x14ac:dyDescent="0.3">
      <c r="A149" s="2"/>
      <c r="B149" s="3">
        <v>0.51249999999999996</v>
      </c>
      <c r="C149" s="3">
        <v>0.51597222222222228</v>
      </c>
      <c r="E149" t="s">
        <v>331</v>
      </c>
      <c r="F149" t="s">
        <v>642</v>
      </c>
      <c r="G149" t="s">
        <v>643</v>
      </c>
      <c r="H149" t="s">
        <v>428</v>
      </c>
      <c r="I149" t="s">
        <v>645</v>
      </c>
      <c r="J149" t="s">
        <v>429</v>
      </c>
      <c r="K149" t="s">
        <v>429</v>
      </c>
      <c r="M149" s="4">
        <v>3.472222222222222E-3</v>
      </c>
    </row>
    <row r="150" spans="1:13" x14ac:dyDescent="0.3">
      <c r="A150" s="2"/>
      <c r="B150" s="3">
        <v>0.5180555555555556</v>
      </c>
      <c r="C150" s="3">
        <v>0.51875000000000004</v>
      </c>
      <c r="E150" t="s">
        <v>331</v>
      </c>
      <c r="F150" t="s">
        <v>642</v>
      </c>
      <c r="G150" t="s">
        <v>643</v>
      </c>
      <c r="H150" t="s">
        <v>430</v>
      </c>
      <c r="I150" t="s">
        <v>645</v>
      </c>
      <c r="J150" t="s">
        <v>431</v>
      </c>
      <c r="K150" t="s">
        <v>431</v>
      </c>
      <c r="M150" s="4">
        <v>6.9444444444444447E-4</v>
      </c>
    </row>
    <row r="151" spans="1:13" x14ac:dyDescent="0.3">
      <c r="A151" s="2"/>
      <c r="B151" s="3">
        <v>0.52083333333333337</v>
      </c>
      <c r="C151" s="3">
        <v>0.52152777777777781</v>
      </c>
      <c r="E151" t="s">
        <v>331</v>
      </c>
      <c r="F151" t="s">
        <v>642</v>
      </c>
      <c r="G151" t="s">
        <v>643</v>
      </c>
      <c r="H151" t="s">
        <v>300</v>
      </c>
      <c r="I151" t="s">
        <v>645</v>
      </c>
      <c r="J151" t="s">
        <v>432</v>
      </c>
      <c r="K151" t="s">
        <v>432</v>
      </c>
      <c r="M151" s="4">
        <v>6.9444444444444447E-4</v>
      </c>
    </row>
    <row r="152" spans="1:13" x14ac:dyDescent="0.3">
      <c r="A152" s="2"/>
      <c r="B152" s="3">
        <v>0.52430555555555558</v>
      </c>
      <c r="C152" s="3">
        <v>0.52430555555555558</v>
      </c>
      <c r="E152" t="s">
        <v>331</v>
      </c>
      <c r="F152" t="s">
        <v>642</v>
      </c>
      <c r="G152" t="s">
        <v>134</v>
      </c>
      <c r="H152" t="s">
        <v>433</v>
      </c>
      <c r="I152" t="s">
        <v>645</v>
      </c>
      <c r="J152" t="s">
        <v>434</v>
      </c>
      <c r="K152" t="s">
        <v>434</v>
      </c>
      <c r="M152" s="4">
        <v>0</v>
      </c>
    </row>
    <row r="153" spans="1:13" x14ac:dyDescent="0.3">
      <c r="A153" s="2"/>
      <c r="B153" s="3">
        <v>0.53333333333333333</v>
      </c>
      <c r="C153" s="3">
        <v>0.53333333333333333</v>
      </c>
      <c r="E153" t="s">
        <v>331</v>
      </c>
      <c r="F153" t="s">
        <v>646</v>
      </c>
      <c r="G153" t="s">
        <v>134</v>
      </c>
      <c r="H153" t="s">
        <v>419</v>
      </c>
      <c r="I153" t="s">
        <v>645</v>
      </c>
      <c r="J153" t="s">
        <v>435</v>
      </c>
      <c r="K153" t="s">
        <v>122</v>
      </c>
      <c r="M153" s="4">
        <v>0</v>
      </c>
    </row>
    <row r="154" spans="1:13" x14ac:dyDescent="0.3">
      <c r="A154" s="2">
        <v>45998</v>
      </c>
      <c r="B154" s="3">
        <v>0.48402777777777778</v>
      </c>
      <c r="C154" s="3">
        <v>0.48402777777777778</v>
      </c>
      <c r="D154" t="s">
        <v>28</v>
      </c>
      <c r="E154" t="s">
        <v>331</v>
      </c>
      <c r="F154" t="s">
        <v>642</v>
      </c>
      <c r="G154" t="s">
        <v>134</v>
      </c>
      <c r="H154" t="s">
        <v>436</v>
      </c>
      <c r="I154" t="s">
        <v>645</v>
      </c>
      <c r="J154" t="s">
        <v>437</v>
      </c>
      <c r="K154" t="s">
        <v>438</v>
      </c>
      <c r="M154" s="4">
        <v>0</v>
      </c>
    </row>
    <row r="155" spans="1:13" x14ac:dyDescent="0.3">
      <c r="A155" s="2">
        <v>45994</v>
      </c>
      <c r="B155" s="3">
        <v>0.47152777777777777</v>
      </c>
      <c r="C155" s="3">
        <v>0.47222222222222221</v>
      </c>
      <c r="D155" t="s">
        <v>15</v>
      </c>
      <c r="E155" t="s">
        <v>331</v>
      </c>
      <c r="F155" t="s">
        <v>646</v>
      </c>
      <c r="G155" t="s">
        <v>134</v>
      </c>
      <c r="H155" t="s">
        <v>439</v>
      </c>
      <c r="I155" t="s">
        <v>645</v>
      </c>
      <c r="J155" t="s">
        <v>440</v>
      </c>
      <c r="K155" t="s">
        <v>122</v>
      </c>
      <c r="M155" s="4">
        <v>6.9444444444444447E-4</v>
      </c>
    </row>
    <row r="156" spans="1:13" x14ac:dyDescent="0.3">
      <c r="A156" s="2">
        <v>45988</v>
      </c>
      <c r="B156" s="3">
        <v>0.50902777777777775</v>
      </c>
      <c r="C156" s="3">
        <v>0.50972222222222219</v>
      </c>
      <c r="D156" t="s">
        <v>15</v>
      </c>
      <c r="E156" t="s">
        <v>331</v>
      </c>
      <c r="F156" t="s">
        <v>646</v>
      </c>
      <c r="G156" t="s">
        <v>643</v>
      </c>
      <c r="H156" t="s">
        <v>300</v>
      </c>
      <c r="I156" t="s">
        <v>645</v>
      </c>
      <c r="J156" t="s">
        <v>441</v>
      </c>
      <c r="K156" t="s">
        <v>122</v>
      </c>
      <c r="L156" t="s">
        <v>442</v>
      </c>
      <c r="M156" s="4">
        <v>6.9444444444444447E-4</v>
      </c>
    </row>
    <row r="157" spans="1:13" x14ac:dyDescent="0.3">
      <c r="A157" s="2"/>
      <c r="B157" s="3">
        <v>0.52013888888888893</v>
      </c>
      <c r="C157" s="3">
        <v>0.52083333333333337</v>
      </c>
      <c r="E157" t="s">
        <v>331</v>
      </c>
      <c r="F157" t="s">
        <v>642</v>
      </c>
      <c r="G157" t="s">
        <v>134</v>
      </c>
      <c r="H157" t="s">
        <v>386</v>
      </c>
      <c r="I157" t="s">
        <v>645</v>
      </c>
      <c r="J157" t="s">
        <v>443</v>
      </c>
      <c r="K157" t="s">
        <v>444</v>
      </c>
      <c r="M157" s="4">
        <v>6.9444444444444447E-4</v>
      </c>
    </row>
    <row r="158" spans="1:13" x14ac:dyDescent="0.3">
      <c r="A158" s="2"/>
      <c r="B158" s="3">
        <v>0.53819444444444442</v>
      </c>
      <c r="C158" s="3">
        <v>0.53819444444444442</v>
      </c>
      <c r="E158" t="s">
        <v>331</v>
      </c>
      <c r="F158" t="s">
        <v>312</v>
      </c>
      <c r="G158" t="s">
        <v>134</v>
      </c>
      <c r="H158" t="s">
        <v>445</v>
      </c>
      <c r="I158" t="s">
        <v>645</v>
      </c>
      <c r="J158" t="s">
        <v>446</v>
      </c>
      <c r="K158" t="s">
        <v>122</v>
      </c>
      <c r="M158" s="4">
        <v>0</v>
      </c>
    </row>
    <row r="159" spans="1:13" x14ac:dyDescent="0.3">
      <c r="A159" s="2">
        <v>45989</v>
      </c>
      <c r="B159" s="3">
        <v>0.6118055555555556</v>
      </c>
      <c r="C159" s="3">
        <v>0.61250000000000004</v>
      </c>
      <c r="D159" t="s">
        <v>115</v>
      </c>
      <c r="E159" t="s">
        <v>331</v>
      </c>
      <c r="F159" t="s">
        <v>646</v>
      </c>
      <c r="G159" t="s">
        <v>134</v>
      </c>
      <c r="I159" t="s">
        <v>645</v>
      </c>
      <c r="J159" t="s">
        <v>447</v>
      </c>
      <c r="K159" t="s">
        <v>448</v>
      </c>
      <c r="L159" t="s">
        <v>449</v>
      </c>
      <c r="M159" s="4">
        <v>6.9444444444444447E-4</v>
      </c>
    </row>
    <row r="160" spans="1:13" x14ac:dyDescent="0.3">
      <c r="A160" s="2"/>
      <c r="B160" s="3">
        <v>0.51111111111111107</v>
      </c>
      <c r="C160" s="3">
        <v>0.51180555555555551</v>
      </c>
      <c r="E160" t="s">
        <v>331</v>
      </c>
      <c r="F160" t="s">
        <v>646</v>
      </c>
      <c r="G160" t="s">
        <v>134</v>
      </c>
      <c r="H160" t="s">
        <v>450</v>
      </c>
      <c r="I160" t="s">
        <v>645</v>
      </c>
      <c r="J160" t="s">
        <v>451</v>
      </c>
      <c r="K160" t="s">
        <v>452</v>
      </c>
      <c r="M160" s="4">
        <v>6.9444444444444447E-4</v>
      </c>
    </row>
    <row r="161" spans="1:13" x14ac:dyDescent="0.3">
      <c r="A161" s="2"/>
      <c r="B161" s="3">
        <v>0.53888888888888886</v>
      </c>
      <c r="C161" s="3">
        <v>0.5395833333333333</v>
      </c>
      <c r="E161" t="s">
        <v>331</v>
      </c>
      <c r="F161" t="s">
        <v>646</v>
      </c>
      <c r="G161" t="s">
        <v>643</v>
      </c>
      <c r="H161" t="s">
        <v>453</v>
      </c>
      <c r="I161" t="s">
        <v>645</v>
      </c>
      <c r="J161" t="s">
        <v>454</v>
      </c>
      <c r="K161" t="s">
        <v>455</v>
      </c>
      <c r="M161" s="4">
        <v>6.9444444444444447E-4</v>
      </c>
    </row>
    <row r="162" spans="1:13" x14ac:dyDescent="0.3">
      <c r="A162" s="2">
        <v>45980</v>
      </c>
      <c r="B162" s="3">
        <v>0.6069444444444444</v>
      </c>
      <c r="C162" s="3">
        <v>0.61041666666666672</v>
      </c>
      <c r="D162" t="s">
        <v>15</v>
      </c>
      <c r="E162" t="s">
        <v>331</v>
      </c>
      <c r="F162" t="s">
        <v>646</v>
      </c>
      <c r="G162" t="s">
        <v>643</v>
      </c>
      <c r="H162" t="s">
        <v>456</v>
      </c>
      <c r="I162" t="s">
        <v>645</v>
      </c>
      <c r="J162" t="s">
        <v>457</v>
      </c>
      <c r="K162" t="s">
        <v>458</v>
      </c>
      <c r="M162" s="4">
        <v>3.472222222222222E-3</v>
      </c>
    </row>
    <row r="163" spans="1:13" x14ac:dyDescent="0.3">
      <c r="A163" s="2">
        <v>45973</v>
      </c>
      <c r="B163" s="3">
        <v>0.4597222222222222</v>
      </c>
      <c r="C163" s="3">
        <v>0.46041666666666664</v>
      </c>
      <c r="D163" t="s">
        <v>15</v>
      </c>
      <c r="E163" t="s">
        <v>331</v>
      </c>
      <c r="F163" t="s">
        <v>642</v>
      </c>
      <c r="G163" t="s">
        <v>643</v>
      </c>
      <c r="H163" t="s">
        <v>459</v>
      </c>
      <c r="I163" t="s">
        <v>645</v>
      </c>
      <c r="J163" t="s">
        <v>460</v>
      </c>
      <c r="K163" t="s">
        <v>461</v>
      </c>
      <c r="M163" s="4">
        <v>6.9444444444444447E-4</v>
      </c>
    </row>
    <row r="164" spans="1:13" x14ac:dyDescent="0.3">
      <c r="A164" s="2">
        <v>45980</v>
      </c>
      <c r="B164" s="3">
        <v>0.60763888888888884</v>
      </c>
      <c r="C164" s="3">
        <v>0.60833333333333328</v>
      </c>
      <c r="D164" t="s">
        <v>15</v>
      </c>
      <c r="E164" t="s">
        <v>331</v>
      </c>
      <c r="F164" t="s">
        <v>642</v>
      </c>
      <c r="G164" t="s">
        <v>134</v>
      </c>
      <c r="H164" t="s">
        <v>462</v>
      </c>
      <c r="I164" t="s">
        <v>645</v>
      </c>
      <c r="J164" t="s">
        <v>463</v>
      </c>
      <c r="K164" t="s">
        <v>464</v>
      </c>
      <c r="M164" s="4">
        <v>6.9444444444444447E-4</v>
      </c>
    </row>
    <row r="165" spans="1:13" x14ac:dyDescent="0.3">
      <c r="A165" s="2">
        <v>45973</v>
      </c>
      <c r="B165" s="3">
        <v>0.46805555555555556</v>
      </c>
      <c r="C165" s="3">
        <v>0.46875</v>
      </c>
      <c r="D165" t="s">
        <v>15</v>
      </c>
      <c r="E165" t="s">
        <v>331</v>
      </c>
      <c r="F165" t="s">
        <v>642</v>
      </c>
      <c r="G165" t="s">
        <v>134</v>
      </c>
      <c r="H165" t="s">
        <v>465</v>
      </c>
      <c r="I165" t="s">
        <v>644</v>
      </c>
      <c r="J165" t="s">
        <v>466</v>
      </c>
      <c r="K165" t="s">
        <v>467</v>
      </c>
      <c r="M165" s="4">
        <v>6.9444444444444447E-4</v>
      </c>
    </row>
    <row r="166" spans="1:13" x14ac:dyDescent="0.3">
      <c r="A166" s="2">
        <v>45988</v>
      </c>
      <c r="B166" s="3">
        <v>0.46527777777777779</v>
      </c>
      <c r="C166" s="3">
        <v>0.46666666666666667</v>
      </c>
      <c r="D166" t="s">
        <v>15</v>
      </c>
      <c r="E166" t="s">
        <v>331</v>
      </c>
      <c r="F166" t="s">
        <v>642</v>
      </c>
      <c r="G166" t="s">
        <v>490</v>
      </c>
      <c r="H166" t="s">
        <v>468</v>
      </c>
      <c r="I166" t="s">
        <v>645</v>
      </c>
      <c r="J166" t="s">
        <v>469</v>
      </c>
      <c r="K166" t="s">
        <v>469</v>
      </c>
      <c r="M166" s="4">
        <v>1.3888888888888889E-3</v>
      </c>
    </row>
    <row r="167" spans="1:13" x14ac:dyDescent="0.3">
      <c r="A167" s="2">
        <v>45991</v>
      </c>
      <c r="B167" s="3">
        <v>0.54861111111111116</v>
      </c>
      <c r="C167" s="3">
        <v>0.54861111111111116</v>
      </c>
      <c r="D167" t="s">
        <v>147</v>
      </c>
      <c r="E167" t="s">
        <v>331</v>
      </c>
      <c r="F167" t="s">
        <v>646</v>
      </c>
      <c r="G167" t="s">
        <v>134</v>
      </c>
      <c r="H167" t="s">
        <v>470</v>
      </c>
      <c r="I167" t="s">
        <v>645</v>
      </c>
      <c r="J167" t="s">
        <v>471</v>
      </c>
      <c r="K167" t="s">
        <v>122</v>
      </c>
      <c r="L167" t="s">
        <v>472</v>
      </c>
      <c r="M167" s="4">
        <v>0</v>
      </c>
    </row>
    <row r="168" spans="1:13" x14ac:dyDescent="0.3">
      <c r="A168" s="2">
        <v>45991</v>
      </c>
      <c r="B168" s="3">
        <v>0.55138888888888893</v>
      </c>
      <c r="C168" s="3">
        <v>0.55138888888888893</v>
      </c>
      <c r="D168" t="s">
        <v>147</v>
      </c>
      <c r="E168" t="s">
        <v>331</v>
      </c>
      <c r="F168" t="s">
        <v>646</v>
      </c>
      <c r="G168" t="s">
        <v>643</v>
      </c>
      <c r="H168" t="s">
        <v>473</v>
      </c>
      <c r="I168" t="s">
        <v>644</v>
      </c>
      <c r="J168" t="s">
        <v>441</v>
      </c>
      <c r="K168" t="s">
        <v>122</v>
      </c>
      <c r="L168" t="s">
        <v>474</v>
      </c>
      <c r="M168" s="4">
        <v>0</v>
      </c>
    </row>
    <row r="169" spans="1:13" x14ac:dyDescent="0.3">
      <c r="A169" s="2">
        <v>45988</v>
      </c>
      <c r="B169" s="3">
        <v>0.48958333333333331</v>
      </c>
      <c r="C169" s="3">
        <v>0.49027777777777776</v>
      </c>
      <c r="D169" t="s">
        <v>15</v>
      </c>
      <c r="E169" t="s">
        <v>331</v>
      </c>
      <c r="F169" t="s">
        <v>646</v>
      </c>
      <c r="G169" t="s">
        <v>490</v>
      </c>
      <c r="H169" t="s">
        <v>475</v>
      </c>
      <c r="I169" t="s">
        <v>645</v>
      </c>
      <c r="J169" t="s">
        <v>476</v>
      </c>
      <c r="K169" t="s">
        <v>408</v>
      </c>
      <c r="M169" s="4">
        <v>6.9444444444444447E-4</v>
      </c>
    </row>
    <row r="170" spans="1:13" x14ac:dyDescent="0.3">
      <c r="A170" s="2">
        <v>45991</v>
      </c>
      <c r="B170" s="3">
        <v>0.49236111111111114</v>
      </c>
      <c r="C170" s="3">
        <v>0.49375000000000002</v>
      </c>
      <c r="D170" t="s">
        <v>147</v>
      </c>
      <c r="E170" t="s">
        <v>331</v>
      </c>
      <c r="F170" t="s">
        <v>642</v>
      </c>
      <c r="G170" t="s">
        <v>643</v>
      </c>
      <c r="I170" t="s">
        <v>645</v>
      </c>
      <c r="J170" t="s">
        <v>477</v>
      </c>
      <c r="K170" t="s">
        <v>478</v>
      </c>
      <c r="M170" s="4">
        <v>1.3888888888888889E-3</v>
      </c>
    </row>
    <row r="171" spans="1:13" x14ac:dyDescent="0.3">
      <c r="A171" s="2">
        <v>45998</v>
      </c>
      <c r="B171" s="3">
        <v>0.48125000000000001</v>
      </c>
      <c r="C171" s="3">
        <v>0.48194444444444445</v>
      </c>
      <c r="D171" t="s">
        <v>28</v>
      </c>
      <c r="E171" t="s">
        <v>331</v>
      </c>
      <c r="F171" t="s">
        <v>646</v>
      </c>
      <c r="G171" t="s">
        <v>643</v>
      </c>
      <c r="H171" t="s">
        <v>82</v>
      </c>
      <c r="I171" t="s">
        <v>645</v>
      </c>
      <c r="J171" t="s">
        <v>479</v>
      </c>
      <c r="K171" t="s">
        <v>480</v>
      </c>
      <c r="M171" s="4">
        <v>6.9444444444444447E-4</v>
      </c>
    </row>
    <row r="172" spans="1:13" x14ac:dyDescent="0.3">
      <c r="A172" s="2">
        <v>45994</v>
      </c>
      <c r="B172" s="3">
        <v>0.50138888888888888</v>
      </c>
      <c r="C172" s="3">
        <v>0.50347222222222221</v>
      </c>
      <c r="D172" t="s">
        <v>15</v>
      </c>
      <c r="E172" t="s">
        <v>331</v>
      </c>
      <c r="F172" t="s">
        <v>642</v>
      </c>
      <c r="G172" t="s">
        <v>643</v>
      </c>
      <c r="H172" t="s">
        <v>40</v>
      </c>
      <c r="I172" t="s">
        <v>644</v>
      </c>
      <c r="J172" t="s">
        <v>481</v>
      </c>
      <c r="K172" t="s">
        <v>482</v>
      </c>
      <c r="M172" s="4">
        <v>2.0833333333333333E-3</v>
      </c>
    </row>
    <row r="173" spans="1:13" x14ac:dyDescent="0.3">
      <c r="A173" s="2">
        <v>45994</v>
      </c>
      <c r="B173" s="3">
        <v>0.51111111111111107</v>
      </c>
      <c r="C173" s="3">
        <v>0.51458333333333328</v>
      </c>
      <c r="D173" t="s">
        <v>15</v>
      </c>
      <c r="E173" t="s">
        <v>331</v>
      </c>
      <c r="F173" t="s">
        <v>642</v>
      </c>
      <c r="G173" t="s">
        <v>643</v>
      </c>
      <c r="H173" t="s">
        <v>47</v>
      </c>
      <c r="I173" t="s">
        <v>645</v>
      </c>
      <c r="J173" t="s">
        <v>483</v>
      </c>
      <c r="K173" t="s">
        <v>483</v>
      </c>
      <c r="M173" s="4">
        <v>3.472222222222222E-3</v>
      </c>
    </row>
    <row r="174" spans="1:13" x14ac:dyDescent="0.3">
      <c r="A174" s="2"/>
      <c r="B174" s="3">
        <v>0.53611111111111109</v>
      </c>
      <c r="C174" s="3">
        <v>0.53749999999999998</v>
      </c>
      <c r="E174" t="s">
        <v>331</v>
      </c>
      <c r="F174" t="s">
        <v>642</v>
      </c>
      <c r="G174" t="s">
        <v>643</v>
      </c>
      <c r="H174" t="s">
        <v>82</v>
      </c>
      <c r="I174" t="s">
        <v>645</v>
      </c>
      <c r="J174" t="s">
        <v>484</v>
      </c>
      <c r="K174" t="s">
        <v>485</v>
      </c>
      <c r="M174" s="4">
        <v>1.3888888888888889E-3</v>
      </c>
    </row>
    <row r="175" spans="1:13" x14ac:dyDescent="0.3">
      <c r="A175" s="2">
        <v>45966</v>
      </c>
      <c r="B175" s="3">
        <v>0.52986111111111112</v>
      </c>
      <c r="C175" s="3">
        <v>0.53125</v>
      </c>
      <c r="D175" t="s">
        <v>15</v>
      </c>
      <c r="E175" t="s">
        <v>331</v>
      </c>
      <c r="F175" t="s">
        <v>646</v>
      </c>
      <c r="G175" t="s">
        <v>134</v>
      </c>
      <c r="H175" t="s">
        <v>462</v>
      </c>
      <c r="I175" t="s">
        <v>645</v>
      </c>
      <c r="J175" t="s">
        <v>486</v>
      </c>
      <c r="K175" t="s">
        <v>487</v>
      </c>
      <c r="M175" s="4">
        <v>1.3888888888888889E-3</v>
      </c>
    </row>
    <row r="176" spans="1:13" x14ac:dyDescent="0.3">
      <c r="A176" s="2">
        <v>45989</v>
      </c>
      <c r="B176" s="3">
        <v>0.62013888888888891</v>
      </c>
      <c r="C176" s="3">
        <v>0.62152777777777779</v>
      </c>
      <c r="D176" t="s">
        <v>115</v>
      </c>
      <c r="E176" t="s">
        <v>331</v>
      </c>
      <c r="F176" t="s">
        <v>646</v>
      </c>
      <c r="G176" t="s">
        <v>134</v>
      </c>
      <c r="H176" t="s">
        <v>488</v>
      </c>
      <c r="I176" t="s">
        <v>644</v>
      </c>
      <c r="J176" t="s">
        <v>489</v>
      </c>
      <c r="K176" t="s">
        <v>489</v>
      </c>
      <c r="M176" s="4">
        <v>1.3888888888888889E-3</v>
      </c>
    </row>
    <row r="177" spans="1:13" x14ac:dyDescent="0.3">
      <c r="A177" s="2">
        <v>45973</v>
      </c>
      <c r="B177" s="3">
        <v>0.45069444444444445</v>
      </c>
      <c r="C177" s="3">
        <v>0.4513888888888889</v>
      </c>
      <c r="D177" t="s">
        <v>15</v>
      </c>
      <c r="E177" t="s">
        <v>331</v>
      </c>
      <c r="F177" t="s">
        <v>642</v>
      </c>
      <c r="G177" t="s">
        <v>490</v>
      </c>
      <c r="H177" t="s">
        <v>491</v>
      </c>
      <c r="I177" t="s">
        <v>645</v>
      </c>
      <c r="J177" t="s">
        <v>492</v>
      </c>
      <c r="K177" t="s">
        <v>493</v>
      </c>
      <c r="M177" s="4">
        <v>6.9444444444444447E-4</v>
      </c>
    </row>
    <row r="178" spans="1:13" x14ac:dyDescent="0.3">
      <c r="A178" s="2">
        <v>45966</v>
      </c>
      <c r="B178" s="3">
        <v>0.52777777777777779</v>
      </c>
      <c r="C178" s="3">
        <v>0.52847222222222223</v>
      </c>
      <c r="D178" t="s">
        <v>15</v>
      </c>
      <c r="E178" t="s">
        <v>331</v>
      </c>
      <c r="F178" t="s">
        <v>642</v>
      </c>
      <c r="G178" t="s">
        <v>134</v>
      </c>
      <c r="H178" t="s">
        <v>494</v>
      </c>
      <c r="I178" t="s">
        <v>645</v>
      </c>
      <c r="J178" t="s">
        <v>495</v>
      </c>
      <c r="K178" t="s">
        <v>496</v>
      </c>
      <c r="M178" s="4">
        <v>6.9444444444444447E-4</v>
      </c>
    </row>
    <row r="179" spans="1:13" x14ac:dyDescent="0.3">
      <c r="A179" s="2">
        <v>45984</v>
      </c>
      <c r="B179" s="3">
        <v>0.6069444444444444</v>
      </c>
      <c r="C179" s="3">
        <v>0.6069444444444444</v>
      </c>
      <c r="D179" t="s">
        <v>361</v>
      </c>
      <c r="E179" t="s">
        <v>331</v>
      </c>
      <c r="F179" t="s">
        <v>646</v>
      </c>
      <c r="G179" t="s">
        <v>134</v>
      </c>
      <c r="I179" t="s">
        <v>312</v>
      </c>
      <c r="J179" t="s">
        <v>498</v>
      </c>
      <c r="K179" t="s">
        <v>246</v>
      </c>
      <c r="M179" s="4">
        <v>0</v>
      </c>
    </row>
    <row r="180" spans="1:13" x14ac:dyDescent="0.3">
      <c r="A180" s="2">
        <v>46005</v>
      </c>
      <c r="B180" s="3">
        <v>0.51458333333333328</v>
      </c>
      <c r="C180" s="3">
        <v>0.51458333333333328</v>
      </c>
      <c r="D180" t="s">
        <v>499</v>
      </c>
      <c r="E180" t="s">
        <v>331</v>
      </c>
      <c r="F180" t="s">
        <v>642</v>
      </c>
      <c r="G180" t="s">
        <v>134</v>
      </c>
      <c r="I180" t="s">
        <v>645</v>
      </c>
      <c r="J180" t="s">
        <v>500</v>
      </c>
      <c r="K180" t="s">
        <v>501</v>
      </c>
      <c r="M180" s="4">
        <v>0</v>
      </c>
    </row>
    <row r="181" spans="1:13" x14ac:dyDescent="0.3">
      <c r="A181" s="2">
        <v>46005</v>
      </c>
      <c r="B181" s="3">
        <v>0.51249999999999996</v>
      </c>
      <c r="C181" s="3">
        <v>0.51388888888888884</v>
      </c>
      <c r="D181" t="s">
        <v>499</v>
      </c>
      <c r="E181" t="s">
        <v>331</v>
      </c>
      <c r="F181" t="s">
        <v>642</v>
      </c>
      <c r="G181" t="s">
        <v>134</v>
      </c>
      <c r="I181" t="s">
        <v>312</v>
      </c>
      <c r="J181" t="s">
        <v>502</v>
      </c>
      <c r="K181" t="s">
        <v>503</v>
      </c>
      <c r="M181" s="4">
        <v>1.3888888888888889E-3</v>
      </c>
    </row>
    <row r="182" spans="1:13" x14ac:dyDescent="0.3">
      <c r="A182" s="2">
        <v>46005</v>
      </c>
      <c r="B182" s="3">
        <v>0.50624999999999998</v>
      </c>
      <c r="C182" s="3"/>
      <c r="D182" t="s">
        <v>499</v>
      </c>
      <c r="E182" t="s">
        <v>331</v>
      </c>
      <c r="F182" t="s">
        <v>646</v>
      </c>
      <c r="G182" t="s">
        <v>643</v>
      </c>
      <c r="I182" t="s">
        <v>645</v>
      </c>
      <c r="J182" t="s">
        <v>504</v>
      </c>
      <c r="K182" t="s">
        <v>505</v>
      </c>
      <c r="M182" s="4"/>
    </row>
    <row r="183" spans="1:13" x14ac:dyDescent="0.3">
      <c r="A183" s="2">
        <v>46005</v>
      </c>
      <c r="B183" s="3">
        <v>0.50555555555555554</v>
      </c>
      <c r="C183" s="3">
        <v>0.50624999999999998</v>
      </c>
      <c r="D183" t="s">
        <v>499</v>
      </c>
      <c r="E183" t="s">
        <v>331</v>
      </c>
      <c r="F183" t="s">
        <v>646</v>
      </c>
      <c r="G183" t="s">
        <v>490</v>
      </c>
      <c r="I183" t="s">
        <v>644</v>
      </c>
      <c r="J183" t="s">
        <v>507</v>
      </c>
      <c r="K183" t="s">
        <v>26</v>
      </c>
      <c r="L183" t="s">
        <v>508</v>
      </c>
      <c r="M183" s="4">
        <v>6.9444444444444447E-4</v>
      </c>
    </row>
    <row r="184" spans="1:13" x14ac:dyDescent="0.3">
      <c r="A184" s="2">
        <v>46005</v>
      </c>
      <c r="B184" s="3">
        <v>0.49722222222222223</v>
      </c>
      <c r="C184" s="3">
        <v>0.50486111111111109</v>
      </c>
      <c r="D184" t="s">
        <v>499</v>
      </c>
      <c r="E184" t="s">
        <v>331</v>
      </c>
      <c r="F184" t="s">
        <v>642</v>
      </c>
      <c r="G184" t="s">
        <v>643</v>
      </c>
      <c r="I184" t="s">
        <v>645</v>
      </c>
      <c r="J184" t="s">
        <v>509</v>
      </c>
      <c r="K184" t="s">
        <v>510</v>
      </c>
      <c r="M184" s="4">
        <v>7.6388888888888886E-3</v>
      </c>
    </row>
    <row r="185" spans="1:13" x14ac:dyDescent="0.3">
      <c r="A185" s="2">
        <v>46005</v>
      </c>
      <c r="B185" s="3">
        <v>0.49236111111111114</v>
      </c>
      <c r="C185" s="3">
        <v>0.49305555555555558</v>
      </c>
      <c r="D185" t="s">
        <v>499</v>
      </c>
      <c r="E185" t="s">
        <v>331</v>
      </c>
      <c r="F185" t="s">
        <v>642</v>
      </c>
      <c r="G185" t="s">
        <v>134</v>
      </c>
      <c r="I185" t="s">
        <v>645</v>
      </c>
      <c r="J185" t="s">
        <v>511</v>
      </c>
      <c r="K185" t="s">
        <v>512</v>
      </c>
      <c r="M185" s="4">
        <v>6.9444444444444447E-4</v>
      </c>
    </row>
    <row r="186" spans="1:13" x14ac:dyDescent="0.3">
      <c r="A186" s="2">
        <v>46005</v>
      </c>
      <c r="B186" s="3">
        <v>0.4861111111111111</v>
      </c>
      <c r="C186" s="3">
        <v>0.48888888888888887</v>
      </c>
      <c r="D186" t="s">
        <v>499</v>
      </c>
      <c r="E186" t="s">
        <v>331</v>
      </c>
      <c r="F186" t="s">
        <v>642</v>
      </c>
      <c r="G186" t="s">
        <v>643</v>
      </c>
      <c r="I186" t="s">
        <v>645</v>
      </c>
      <c r="J186" t="s">
        <v>513</v>
      </c>
      <c r="K186" t="s">
        <v>514</v>
      </c>
      <c r="M186" s="4">
        <v>2.7777777777777779E-3</v>
      </c>
    </row>
    <row r="187" spans="1:13" x14ac:dyDescent="0.3">
      <c r="A187" s="2">
        <v>46005</v>
      </c>
      <c r="B187" s="3">
        <v>0.47986111111111113</v>
      </c>
      <c r="C187" s="3">
        <v>0.48125000000000001</v>
      </c>
      <c r="D187" t="s">
        <v>499</v>
      </c>
      <c r="E187" t="s">
        <v>331</v>
      </c>
      <c r="F187" t="s">
        <v>642</v>
      </c>
      <c r="G187" t="s">
        <v>490</v>
      </c>
      <c r="I187" t="s">
        <v>644</v>
      </c>
      <c r="J187" t="s">
        <v>516</v>
      </c>
      <c r="K187" t="s">
        <v>517</v>
      </c>
      <c r="M187" s="4">
        <v>1.3888888888888889E-3</v>
      </c>
    </row>
    <row r="188" spans="1:13" x14ac:dyDescent="0.3">
      <c r="A188" s="2">
        <v>46005</v>
      </c>
      <c r="B188" s="3">
        <v>0.47847222222222224</v>
      </c>
      <c r="C188" s="3">
        <v>0.47916666666666669</v>
      </c>
      <c r="D188" t="s">
        <v>499</v>
      </c>
      <c r="E188" t="s">
        <v>331</v>
      </c>
      <c r="F188" t="s">
        <v>646</v>
      </c>
      <c r="G188" t="s">
        <v>490</v>
      </c>
      <c r="I188" t="s">
        <v>644</v>
      </c>
      <c r="J188" t="s">
        <v>519</v>
      </c>
      <c r="K188" t="s">
        <v>520</v>
      </c>
      <c r="M188" s="4">
        <v>6.9444444444444447E-4</v>
      </c>
    </row>
    <row r="189" spans="1:13" x14ac:dyDescent="0.3">
      <c r="A189" s="2">
        <v>46005</v>
      </c>
      <c r="B189" s="3">
        <v>0.47361111111111109</v>
      </c>
      <c r="C189" s="3">
        <v>0.47361111111111109</v>
      </c>
      <c r="D189" t="s">
        <v>499</v>
      </c>
      <c r="E189" t="s">
        <v>331</v>
      </c>
      <c r="F189" t="s">
        <v>646</v>
      </c>
      <c r="G189" t="s">
        <v>490</v>
      </c>
      <c r="I189" t="s">
        <v>644</v>
      </c>
      <c r="J189" t="s">
        <v>522</v>
      </c>
      <c r="K189" t="s">
        <v>26</v>
      </c>
      <c r="M189" s="4">
        <v>0</v>
      </c>
    </row>
    <row r="190" spans="1:13" x14ac:dyDescent="0.3">
      <c r="A190" s="2">
        <v>46008</v>
      </c>
      <c r="B190" s="3">
        <v>0.47430555555555554</v>
      </c>
      <c r="C190" s="3">
        <v>0.47499999999999998</v>
      </c>
      <c r="D190" t="s">
        <v>15</v>
      </c>
      <c r="E190" t="s">
        <v>331</v>
      </c>
      <c r="F190" t="s">
        <v>642</v>
      </c>
      <c r="G190" t="s">
        <v>643</v>
      </c>
      <c r="I190" t="s">
        <v>645</v>
      </c>
      <c r="J190" t="s">
        <v>523</v>
      </c>
      <c r="K190" t="s">
        <v>524</v>
      </c>
      <c r="M190" s="4">
        <v>6.9444444444444447E-4</v>
      </c>
    </row>
    <row r="191" spans="1:13" x14ac:dyDescent="0.3">
      <c r="A191" s="2">
        <v>46008</v>
      </c>
      <c r="B191" s="3">
        <v>0.47291666666666665</v>
      </c>
      <c r="C191" s="3">
        <v>0.47361111111111109</v>
      </c>
      <c r="D191" t="s">
        <v>15</v>
      </c>
      <c r="E191" t="s">
        <v>331</v>
      </c>
      <c r="F191" t="s">
        <v>642</v>
      </c>
      <c r="G191" t="s">
        <v>134</v>
      </c>
      <c r="H191" t="s">
        <v>525</v>
      </c>
      <c r="I191" t="s">
        <v>645</v>
      </c>
      <c r="J191" t="s">
        <v>526</v>
      </c>
      <c r="K191" t="s">
        <v>527</v>
      </c>
      <c r="M191" s="4">
        <v>6.9444444444444447E-4</v>
      </c>
    </row>
    <row r="192" spans="1:13" x14ac:dyDescent="0.3">
      <c r="A192" s="2">
        <v>46008</v>
      </c>
      <c r="B192" s="3">
        <v>0.47152777777777777</v>
      </c>
      <c r="C192" s="3">
        <v>0.47222222222222221</v>
      </c>
      <c r="D192" t="s">
        <v>15</v>
      </c>
      <c r="E192" t="s">
        <v>331</v>
      </c>
      <c r="F192" t="s">
        <v>642</v>
      </c>
      <c r="G192" t="s">
        <v>134</v>
      </c>
      <c r="H192" t="s">
        <v>525</v>
      </c>
      <c r="I192" t="s">
        <v>645</v>
      </c>
      <c r="J192" t="s">
        <v>528</v>
      </c>
      <c r="K192" t="s">
        <v>529</v>
      </c>
      <c r="M192" s="4">
        <v>6.9444444444444447E-4</v>
      </c>
    </row>
    <row r="193" spans="1:13" x14ac:dyDescent="0.3">
      <c r="A193" s="2">
        <v>46008</v>
      </c>
      <c r="B193" s="3">
        <v>0.47013888888888888</v>
      </c>
      <c r="C193" s="3">
        <v>0.47152777777777777</v>
      </c>
      <c r="D193" t="s">
        <v>15</v>
      </c>
      <c r="E193" t="s">
        <v>331</v>
      </c>
      <c r="F193" t="s">
        <v>642</v>
      </c>
      <c r="G193" t="s">
        <v>134</v>
      </c>
      <c r="H193" t="s">
        <v>525</v>
      </c>
      <c r="I193" t="s">
        <v>645</v>
      </c>
      <c r="J193" t="s">
        <v>530</v>
      </c>
      <c r="K193" t="s">
        <v>531</v>
      </c>
      <c r="M193" s="4">
        <v>1.3888888888888889E-3</v>
      </c>
    </row>
    <row r="194" spans="1:13" x14ac:dyDescent="0.3">
      <c r="A194" s="2">
        <v>46008</v>
      </c>
      <c r="B194" s="3">
        <v>0.47499999999999998</v>
      </c>
      <c r="C194" s="3">
        <v>0.47499999999999998</v>
      </c>
      <c r="D194" t="s">
        <v>15</v>
      </c>
      <c r="E194" t="s">
        <v>331</v>
      </c>
      <c r="F194" t="s">
        <v>646</v>
      </c>
      <c r="G194" t="s">
        <v>643</v>
      </c>
      <c r="H194" t="s">
        <v>532</v>
      </c>
      <c r="I194" t="s">
        <v>645</v>
      </c>
      <c r="J194" t="s">
        <v>533</v>
      </c>
      <c r="K194" t="s">
        <v>534</v>
      </c>
      <c r="M194" s="4">
        <v>0</v>
      </c>
    </row>
    <row r="195" spans="1:13" x14ac:dyDescent="0.3">
      <c r="A195" s="2">
        <v>46008</v>
      </c>
      <c r="B195" s="3">
        <v>0.47638888888888886</v>
      </c>
      <c r="C195" s="3">
        <v>0.4777777777777778</v>
      </c>
      <c r="D195" t="s">
        <v>15</v>
      </c>
      <c r="E195" t="s">
        <v>331</v>
      </c>
      <c r="F195" t="s">
        <v>642</v>
      </c>
      <c r="G195" t="s">
        <v>134</v>
      </c>
      <c r="H195" t="s">
        <v>525</v>
      </c>
      <c r="I195" t="s">
        <v>312</v>
      </c>
      <c r="J195" t="s">
        <v>535</v>
      </c>
      <c r="K195" t="s">
        <v>536</v>
      </c>
      <c r="L195" t="s">
        <v>537</v>
      </c>
      <c r="M195" s="4">
        <v>1.3888888888888889E-3</v>
      </c>
    </row>
    <row r="196" spans="1:13" x14ac:dyDescent="0.3">
      <c r="A196" s="2">
        <v>46008</v>
      </c>
      <c r="B196" s="3">
        <v>0.48472222222222222</v>
      </c>
      <c r="C196" s="3">
        <v>0.48958333333333331</v>
      </c>
      <c r="D196" t="s">
        <v>15</v>
      </c>
      <c r="E196" t="s">
        <v>331</v>
      </c>
      <c r="F196" t="s">
        <v>646</v>
      </c>
      <c r="G196" t="s">
        <v>134</v>
      </c>
      <c r="H196" t="s">
        <v>494</v>
      </c>
      <c r="I196" t="s">
        <v>312</v>
      </c>
      <c r="J196" t="s">
        <v>538</v>
      </c>
      <c r="K196" t="s">
        <v>539</v>
      </c>
      <c r="M196" s="4">
        <v>4.8611111111111112E-3</v>
      </c>
    </row>
    <row r="197" spans="1:13" x14ac:dyDescent="0.3">
      <c r="A197" s="2">
        <v>46008</v>
      </c>
      <c r="B197" s="3">
        <v>0.48402777777777778</v>
      </c>
      <c r="C197" s="3">
        <v>0.48472222222222222</v>
      </c>
      <c r="D197" t="s">
        <v>15</v>
      </c>
      <c r="E197" t="s">
        <v>331</v>
      </c>
      <c r="F197" t="s">
        <v>646</v>
      </c>
      <c r="G197" t="s">
        <v>490</v>
      </c>
      <c r="H197" t="s">
        <v>541</v>
      </c>
      <c r="I197" t="s">
        <v>312</v>
      </c>
      <c r="J197" t="s">
        <v>542</v>
      </c>
      <c r="K197" t="s">
        <v>543</v>
      </c>
      <c r="L197" t="s">
        <v>544</v>
      </c>
      <c r="M197" s="4">
        <v>6.9444444444444447E-4</v>
      </c>
    </row>
    <row r="198" spans="1:13" x14ac:dyDescent="0.3">
      <c r="A198" s="2">
        <v>46008</v>
      </c>
      <c r="B198" s="3">
        <v>0.48472222222222222</v>
      </c>
      <c r="C198" s="3">
        <v>0.4861111111111111</v>
      </c>
      <c r="D198" t="s">
        <v>15</v>
      </c>
      <c r="E198" t="s">
        <v>331</v>
      </c>
      <c r="F198" t="s">
        <v>642</v>
      </c>
      <c r="G198" t="s">
        <v>134</v>
      </c>
      <c r="H198" t="s">
        <v>545</v>
      </c>
      <c r="I198" t="s">
        <v>644</v>
      </c>
      <c r="J198" t="s">
        <v>546</v>
      </c>
      <c r="K198" t="s">
        <v>547</v>
      </c>
      <c r="M198" s="4">
        <v>1.3888888888888889E-3</v>
      </c>
    </row>
    <row r="199" spans="1:13" x14ac:dyDescent="0.3">
      <c r="A199" s="2">
        <v>46008</v>
      </c>
      <c r="B199" s="3">
        <v>0.52500000000000002</v>
      </c>
      <c r="C199" s="3">
        <v>0.52916666666666667</v>
      </c>
      <c r="D199" t="s">
        <v>15</v>
      </c>
      <c r="E199" t="s">
        <v>331</v>
      </c>
      <c r="F199" t="s">
        <v>642</v>
      </c>
      <c r="G199" t="s">
        <v>134</v>
      </c>
      <c r="H199" t="s">
        <v>548</v>
      </c>
      <c r="I199" t="s">
        <v>645</v>
      </c>
      <c r="J199" t="s">
        <v>549</v>
      </c>
      <c r="K199" t="s">
        <v>550</v>
      </c>
      <c r="L199" t="s">
        <v>551</v>
      </c>
      <c r="M199" s="4">
        <v>4.1666666666666666E-3</v>
      </c>
    </row>
    <row r="200" spans="1:13" x14ac:dyDescent="0.3">
      <c r="A200" s="2">
        <v>46008</v>
      </c>
      <c r="B200" s="3">
        <v>0.52361111111111114</v>
      </c>
      <c r="C200" s="3">
        <v>0.52569444444444446</v>
      </c>
      <c r="D200" t="s">
        <v>15</v>
      </c>
      <c r="E200" t="s">
        <v>331</v>
      </c>
      <c r="F200" t="s">
        <v>642</v>
      </c>
      <c r="G200" t="s">
        <v>134</v>
      </c>
      <c r="H200" t="s">
        <v>548</v>
      </c>
      <c r="I200" t="s">
        <v>312</v>
      </c>
      <c r="J200" t="s">
        <v>552</v>
      </c>
      <c r="K200" t="s">
        <v>553</v>
      </c>
      <c r="M200" s="4">
        <v>2.0833333333333333E-3</v>
      </c>
    </row>
    <row r="201" spans="1:13" x14ac:dyDescent="0.3">
      <c r="A201" s="2">
        <v>46008</v>
      </c>
      <c r="B201" s="3">
        <v>0.52083333333333337</v>
      </c>
      <c r="C201" s="3">
        <v>0.52152777777777781</v>
      </c>
      <c r="D201" t="s">
        <v>15</v>
      </c>
      <c r="E201" t="s">
        <v>331</v>
      </c>
      <c r="F201" t="s">
        <v>646</v>
      </c>
      <c r="G201" t="s">
        <v>134</v>
      </c>
      <c r="H201" t="s">
        <v>554</v>
      </c>
      <c r="I201" t="s">
        <v>645</v>
      </c>
      <c r="J201" t="s">
        <v>555</v>
      </c>
      <c r="K201" t="s">
        <v>556</v>
      </c>
      <c r="M201" s="4">
        <v>6.9444444444444447E-4</v>
      </c>
    </row>
    <row r="202" spans="1:13" x14ac:dyDescent="0.3">
      <c r="A202" s="2">
        <v>46008</v>
      </c>
      <c r="B202" s="3">
        <v>0.51944444444444449</v>
      </c>
      <c r="C202" s="3">
        <v>0.52222222222222225</v>
      </c>
      <c r="D202" t="s">
        <v>15</v>
      </c>
      <c r="E202" t="s">
        <v>331</v>
      </c>
      <c r="F202" t="s">
        <v>642</v>
      </c>
      <c r="G202" t="s">
        <v>643</v>
      </c>
      <c r="H202" t="s">
        <v>165</v>
      </c>
      <c r="I202" t="s">
        <v>645</v>
      </c>
      <c r="J202" t="s">
        <v>557</v>
      </c>
      <c r="K202" t="s">
        <v>558</v>
      </c>
      <c r="M202" s="4">
        <v>2.7777777777777779E-3</v>
      </c>
    </row>
    <row r="203" spans="1:13" x14ac:dyDescent="0.3">
      <c r="A203" s="2">
        <v>46008</v>
      </c>
      <c r="B203" s="3">
        <v>0.5180555555555556</v>
      </c>
      <c r="C203" s="3">
        <v>0.52013888888888893</v>
      </c>
      <c r="D203" t="s">
        <v>15</v>
      </c>
      <c r="E203" t="s">
        <v>331</v>
      </c>
      <c r="F203" t="s">
        <v>312</v>
      </c>
      <c r="G203" t="s">
        <v>643</v>
      </c>
      <c r="H203" t="s">
        <v>559</v>
      </c>
      <c r="I203" t="s">
        <v>645</v>
      </c>
      <c r="J203" t="s">
        <v>560</v>
      </c>
      <c r="K203" t="s">
        <v>561</v>
      </c>
      <c r="M203" s="4">
        <v>2.0833333333333333E-3</v>
      </c>
    </row>
    <row r="204" spans="1:13" x14ac:dyDescent="0.3">
      <c r="A204" s="2">
        <v>46008</v>
      </c>
      <c r="B204" s="3">
        <v>0.51736111111111116</v>
      </c>
      <c r="C204" s="3">
        <v>0.52013888888888893</v>
      </c>
      <c r="D204" t="s">
        <v>15</v>
      </c>
      <c r="E204" t="s">
        <v>331</v>
      </c>
      <c r="F204" t="s">
        <v>646</v>
      </c>
      <c r="G204" t="s">
        <v>134</v>
      </c>
      <c r="H204" t="s">
        <v>562</v>
      </c>
      <c r="I204" t="s">
        <v>645</v>
      </c>
      <c r="J204" t="s">
        <v>563</v>
      </c>
      <c r="K204" t="s">
        <v>564</v>
      </c>
      <c r="M204" s="4">
        <v>2.7777777777777779E-3</v>
      </c>
    </row>
    <row r="205" spans="1:13" x14ac:dyDescent="0.3">
      <c r="A205" s="2">
        <v>46008</v>
      </c>
      <c r="B205" s="3">
        <v>0.47430555555555554</v>
      </c>
      <c r="C205" s="3">
        <v>0.4777777777777778</v>
      </c>
      <c r="D205" t="s">
        <v>15</v>
      </c>
      <c r="E205" t="s">
        <v>331</v>
      </c>
      <c r="F205" t="s">
        <v>646</v>
      </c>
      <c r="G205" t="s">
        <v>134</v>
      </c>
      <c r="H205" t="s">
        <v>565</v>
      </c>
      <c r="I205" t="s">
        <v>645</v>
      </c>
      <c r="J205" t="s">
        <v>566</v>
      </c>
      <c r="K205" t="s">
        <v>567</v>
      </c>
      <c r="M205" s="4">
        <v>3.472222222222222E-3</v>
      </c>
    </row>
    <row r="206" spans="1:13" x14ac:dyDescent="0.3">
      <c r="A206" s="2">
        <v>46008</v>
      </c>
      <c r="B206" s="3">
        <v>0.51388888888888884</v>
      </c>
      <c r="C206" s="3">
        <v>0.51736111111111116</v>
      </c>
      <c r="D206" t="s">
        <v>15</v>
      </c>
      <c r="E206" t="s">
        <v>331</v>
      </c>
      <c r="F206" t="s">
        <v>642</v>
      </c>
      <c r="G206" t="s">
        <v>134</v>
      </c>
      <c r="H206" t="s">
        <v>568</v>
      </c>
      <c r="I206" t="s">
        <v>645</v>
      </c>
      <c r="J206" t="s">
        <v>569</v>
      </c>
      <c r="K206" t="s">
        <v>570</v>
      </c>
      <c r="M206" s="4">
        <v>3.472222222222222E-3</v>
      </c>
    </row>
    <row r="207" spans="1:13" x14ac:dyDescent="0.3">
      <c r="A207" s="2">
        <v>46008</v>
      </c>
      <c r="B207" s="3">
        <v>0.52222222222222225</v>
      </c>
      <c r="C207" s="3">
        <v>0.52222222222222225</v>
      </c>
      <c r="D207" t="s">
        <v>15</v>
      </c>
      <c r="E207" t="s">
        <v>331</v>
      </c>
      <c r="F207" t="s">
        <v>642</v>
      </c>
      <c r="G207" t="s">
        <v>643</v>
      </c>
      <c r="H207" t="s">
        <v>559</v>
      </c>
      <c r="I207" t="s">
        <v>645</v>
      </c>
      <c r="J207" t="s">
        <v>571</v>
      </c>
      <c r="K207" t="s">
        <v>26</v>
      </c>
      <c r="M207" s="4">
        <v>0</v>
      </c>
    </row>
    <row r="208" spans="1:13" x14ac:dyDescent="0.3">
      <c r="A208" s="2">
        <v>46008</v>
      </c>
      <c r="B208" s="3">
        <v>0.5083333333333333</v>
      </c>
      <c r="C208" s="3">
        <v>0.50972222222222219</v>
      </c>
      <c r="D208" t="s">
        <v>15</v>
      </c>
      <c r="E208" t="s">
        <v>331</v>
      </c>
      <c r="F208" t="s">
        <v>642</v>
      </c>
      <c r="G208" t="s">
        <v>134</v>
      </c>
      <c r="H208" t="s">
        <v>572</v>
      </c>
      <c r="I208" t="s">
        <v>645</v>
      </c>
      <c r="J208" t="s">
        <v>574</v>
      </c>
      <c r="K208" t="s">
        <v>575</v>
      </c>
      <c r="M208" s="4">
        <v>1.3888888888888889E-3</v>
      </c>
    </row>
    <row r="209" spans="1:13" x14ac:dyDescent="0.3">
      <c r="A209" s="2">
        <v>46002</v>
      </c>
      <c r="B209" s="3">
        <v>0.52500000000000002</v>
      </c>
      <c r="C209" s="3">
        <v>0.52569444444444446</v>
      </c>
      <c r="D209" t="s">
        <v>15</v>
      </c>
      <c r="E209" t="s">
        <v>331</v>
      </c>
      <c r="F209" t="s">
        <v>642</v>
      </c>
      <c r="G209" t="s">
        <v>134</v>
      </c>
      <c r="H209" t="s">
        <v>576</v>
      </c>
      <c r="I209" t="s">
        <v>645</v>
      </c>
      <c r="J209" t="s">
        <v>577</v>
      </c>
      <c r="K209" t="s">
        <v>578</v>
      </c>
      <c r="M209" s="4">
        <v>6.9444444444444447E-4</v>
      </c>
    </row>
    <row r="210" spans="1:13" x14ac:dyDescent="0.3">
      <c r="A210" s="2">
        <v>46029</v>
      </c>
      <c r="B210" s="3">
        <v>0.50347222222222221</v>
      </c>
      <c r="C210" s="3">
        <v>0.50624999999999998</v>
      </c>
      <c r="D210" t="s">
        <v>15</v>
      </c>
      <c r="E210" t="s">
        <v>331</v>
      </c>
      <c r="F210" t="s">
        <v>646</v>
      </c>
      <c r="G210" t="s">
        <v>134</v>
      </c>
      <c r="H210" t="s">
        <v>548</v>
      </c>
      <c r="I210" t="s">
        <v>645</v>
      </c>
      <c r="J210" t="s">
        <v>579</v>
      </c>
      <c r="K210" t="s">
        <v>580</v>
      </c>
      <c r="M210" s="4">
        <v>2.7777777777777779E-3</v>
      </c>
    </row>
    <row r="211" spans="1:13" x14ac:dyDescent="0.3">
      <c r="A211" s="2">
        <v>46029</v>
      </c>
      <c r="B211" s="3">
        <v>0.50069444444444444</v>
      </c>
      <c r="C211" s="3">
        <v>0.50069444444444444</v>
      </c>
      <c r="D211" t="s">
        <v>15</v>
      </c>
      <c r="E211" t="s">
        <v>331</v>
      </c>
      <c r="F211" t="s">
        <v>642</v>
      </c>
      <c r="G211" t="s">
        <v>643</v>
      </c>
      <c r="H211" t="s">
        <v>300</v>
      </c>
      <c r="I211" t="s">
        <v>645</v>
      </c>
      <c r="J211" t="s">
        <v>581</v>
      </c>
      <c r="K211" t="s">
        <v>582</v>
      </c>
      <c r="M211" s="4">
        <v>0</v>
      </c>
    </row>
    <row r="212" spans="1:13" x14ac:dyDescent="0.3">
      <c r="A212" s="2">
        <v>46029</v>
      </c>
      <c r="B212" s="3">
        <v>0.5</v>
      </c>
      <c r="C212" s="3">
        <v>0.50069444444444444</v>
      </c>
      <c r="D212" t="s">
        <v>15</v>
      </c>
      <c r="E212" t="s">
        <v>331</v>
      </c>
      <c r="F212" t="s">
        <v>642</v>
      </c>
      <c r="G212" t="s">
        <v>643</v>
      </c>
      <c r="H212" t="s">
        <v>559</v>
      </c>
      <c r="I212" t="s">
        <v>645</v>
      </c>
      <c r="J212" t="s">
        <v>584</v>
      </c>
      <c r="K212" t="s">
        <v>585</v>
      </c>
      <c r="M212" s="4">
        <v>6.9444444444444447E-4</v>
      </c>
    </row>
    <row r="213" spans="1:13" x14ac:dyDescent="0.3">
      <c r="A213" s="2">
        <v>46029</v>
      </c>
      <c r="B213" s="3">
        <v>0.49652777777777779</v>
      </c>
      <c r="C213" s="3">
        <v>0.49930555555555556</v>
      </c>
      <c r="D213" t="s">
        <v>15</v>
      </c>
      <c r="E213" t="s">
        <v>331</v>
      </c>
      <c r="F213" t="s">
        <v>642</v>
      </c>
      <c r="G213" t="s">
        <v>134</v>
      </c>
      <c r="H213" t="s">
        <v>586</v>
      </c>
      <c r="I213" t="s">
        <v>645</v>
      </c>
      <c r="J213" t="s">
        <v>587</v>
      </c>
      <c r="K213" t="s">
        <v>588</v>
      </c>
      <c r="M213" s="4">
        <v>2.7777777777777779E-3</v>
      </c>
    </row>
    <row r="214" spans="1:13" x14ac:dyDescent="0.3">
      <c r="A214" s="2">
        <v>46029</v>
      </c>
      <c r="B214" s="3">
        <v>0.45833333333333331</v>
      </c>
      <c r="C214" s="3">
        <v>0.46041666666666664</v>
      </c>
      <c r="D214" t="s">
        <v>15</v>
      </c>
      <c r="E214" t="s">
        <v>331</v>
      </c>
      <c r="F214" t="s">
        <v>646</v>
      </c>
      <c r="G214" t="s">
        <v>490</v>
      </c>
      <c r="H214" t="s">
        <v>590</v>
      </c>
      <c r="I214" t="s">
        <v>644</v>
      </c>
      <c r="J214" t="s">
        <v>591</v>
      </c>
      <c r="K214" t="s">
        <v>592</v>
      </c>
      <c r="M214" s="4">
        <v>2.0833333333333333E-3</v>
      </c>
    </row>
    <row r="215" spans="1:13" x14ac:dyDescent="0.3">
      <c r="A215" s="2">
        <v>46029</v>
      </c>
      <c r="B215" s="3">
        <v>0.47222222222222221</v>
      </c>
      <c r="C215" s="3">
        <v>0.47361111111111109</v>
      </c>
      <c r="D215" t="s">
        <v>15</v>
      </c>
      <c r="E215" t="s">
        <v>331</v>
      </c>
      <c r="F215" t="s">
        <v>642</v>
      </c>
      <c r="G215" t="s">
        <v>643</v>
      </c>
      <c r="H215" t="s">
        <v>300</v>
      </c>
      <c r="I215" t="s">
        <v>645</v>
      </c>
      <c r="J215" t="s">
        <v>593</v>
      </c>
      <c r="K215" t="s">
        <v>594</v>
      </c>
      <c r="M215" s="4">
        <v>1.3888888888888889E-3</v>
      </c>
    </row>
    <row r="216" spans="1:13" x14ac:dyDescent="0.3">
      <c r="A216" s="2">
        <v>46029</v>
      </c>
      <c r="B216" s="3">
        <v>0.48819444444444443</v>
      </c>
      <c r="C216" s="3">
        <v>0.48958333333333331</v>
      </c>
      <c r="D216" t="s">
        <v>15</v>
      </c>
      <c r="E216" t="s">
        <v>331</v>
      </c>
      <c r="F216" t="s">
        <v>646</v>
      </c>
      <c r="G216" t="s">
        <v>490</v>
      </c>
      <c r="H216" t="s">
        <v>595</v>
      </c>
      <c r="I216" t="s">
        <v>644</v>
      </c>
      <c r="J216" t="s">
        <v>596</v>
      </c>
      <c r="K216" t="s">
        <v>597</v>
      </c>
      <c r="M216" s="4">
        <v>1.3888888888888889E-3</v>
      </c>
    </row>
    <row r="217" spans="1:13" x14ac:dyDescent="0.3">
      <c r="A217" s="2">
        <v>46038</v>
      </c>
      <c r="B217" s="3">
        <v>0.63402777777777775</v>
      </c>
      <c r="C217" s="3">
        <v>0.63472222222222219</v>
      </c>
      <c r="D217" t="s">
        <v>115</v>
      </c>
      <c r="E217" t="s">
        <v>331</v>
      </c>
      <c r="F217" t="s">
        <v>646</v>
      </c>
      <c r="G217" t="s">
        <v>134</v>
      </c>
      <c r="H217" t="s">
        <v>598</v>
      </c>
      <c r="I217" t="s">
        <v>644</v>
      </c>
      <c r="J217" t="s">
        <v>599</v>
      </c>
      <c r="K217" t="s">
        <v>600</v>
      </c>
      <c r="M217" s="4">
        <v>6.9444444444444447E-4</v>
      </c>
    </row>
    <row r="218" spans="1:13" x14ac:dyDescent="0.3">
      <c r="A218" s="2">
        <v>46033</v>
      </c>
      <c r="B218" s="3">
        <v>0.51041666666666663</v>
      </c>
      <c r="C218" s="3">
        <v>0.51180555555555551</v>
      </c>
      <c r="D218" t="s">
        <v>15</v>
      </c>
      <c r="E218" t="s">
        <v>331</v>
      </c>
      <c r="F218" t="s">
        <v>642</v>
      </c>
      <c r="G218" t="s">
        <v>312</v>
      </c>
      <c r="I218" t="s">
        <v>312</v>
      </c>
      <c r="J218" t="s">
        <v>601</v>
      </c>
      <c r="K218" t="s">
        <v>602</v>
      </c>
      <c r="M218" s="4">
        <v>1.3888888888888889E-3</v>
      </c>
    </row>
    <row r="219" spans="1:13" x14ac:dyDescent="0.3">
      <c r="A219" s="2">
        <v>46033</v>
      </c>
      <c r="B219" s="3">
        <v>0.50694444444444442</v>
      </c>
      <c r="C219" s="3">
        <v>0.51041666666666663</v>
      </c>
      <c r="D219" t="s">
        <v>15</v>
      </c>
      <c r="E219" t="s">
        <v>331</v>
      </c>
      <c r="F219" t="s">
        <v>642</v>
      </c>
      <c r="G219" t="s">
        <v>643</v>
      </c>
      <c r="H219" t="s">
        <v>113</v>
      </c>
      <c r="I219" t="s">
        <v>645</v>
      </c>
      <c r="J219" t="s">
        <v>603</v>
      </c>
      <c r="K219" t="s">
        <v>604</v>
      </c>
      <c r="M219" s="4">
        <v>3.472222222222222E-3</v>
      </c>
    </row>
    <row r="220" spans="1:13" x14ac:dyDescent="0.3">
      <c r="A220" s="2">
        <v>46033</v>
      </c>
      <c r="B220" s="3">
        <v>0.50347222222222221</v>
      </c>
      <c r="C220" s="3">
        <v>0.50486111111111109</v>
      </c>
      <c r="D220" t="s">
        <v>15</v>
      </c>
      <c r="E220" t="s">
        <v>331</v>
      </c>
      <c r="F220" t="s">
        <v>642</v>
      </c>
      <c r="G220" t="s">
        <v>490</v>
      </c>
      <c r="H220" t="s">
        <v>605</v>
      </c>
      <c r="I220" t="s">
        <v>644</v>
      </c>
      <c r="J220" t="s">
        <v>606</v>
      </c>
      <c r="K220" t="s">
        <v>607</v>
      </c>
      <c r="M220" s="4">
        <v>1.3888888888888889E-3</v>
      </c>
    </row>
    <row r="221" spans="1:13" x14ac:dyDescent="0.3">
      <c r="A221" s="2">
        <v>46033</v>
      </c>
      <c r="B221" s="3">
        <v>0.46041666666666664</v>
      </c>
      <c r="C221" s="3"/>
      <c r="D221" t="s">
        <v>15</v>
      </c>
      <c r="E221" t="s">
        <v>331</v>
      </c>
      <c r="F221" t="s">
        <v>642</v>
      </c>
      <c r="G221" t="s">
        <v>643</v>
      </c>
      <c r="H221" t="s">
        <v>608</v>
      </c>
      <c r="I221" t="s">
        <v>645</v>
      </c>
      <c r="J221" t="s">
        <v>609</v>
      </c>
      <c r="K221" t="s">
        <v>610</v>
      </c>
      <c r="L221" t="s">
        <v>611</v>
      </c>
      <c r="M221" s="4"/>
    </row>
    <row r="222" spans="1:13" x14ac:dyDescent="0.3">
      <c r="A222" s="2">
        <v>46030</v>
      </c>
      <c r="B222" s="3">
        <v>0.50347222222222221</v>
      </c>
      <c r="C222" s="3">
        <v>0.50486111111111109</v>
      </c>
      <c r="D222" t="s">
        <v>28</v>
      </c>
      <c r="E222" t="s">
        <v>331</v>
      </c>
      <c r="F222" t="s">
        <v>642</v>
      </c>
      <c r="G222" t="s">
        <v>134</v>
      </c>
      <c r="H222" t="s">
        <v>612</v>
      </c>
      <c r="I222" t="s">
        <v>645</v>
      </c>
      <c r="J222" t="s">
        <v>613</v>
      </c>
      <c r="K222" t="s">
        <v>614</v>
      </c>
      <c r="M222" s="4">
        <v>1.3888888888888889E-3</v>
      </c>
    </row>
    <row r="223" spans="1:13" x14ac:dyDescent="0.3">
      <c r="A223" s="2">
        <v>46033</v>
      </c>
      <c r="B223" s="3">
        <v>0.50694444444444442</v>
      </c>
      <c r="C223" s="3">
        <v>0.51180555555555551</v>
      </c>
      <c r="D223" t="s">
        <v>15</v>
      </c>
      <c r="E223" t="s">
        <v>331</v>
      </c>
      <c r="F223" t="s">
        <v>646</v>
      </c>
      <c r="G223" t="s">
        <v>490</v>
      </c>
      <c r="H223" t="s">
        <v>616</v>
      </c>
      <c r="I223" t="s">
        <v>645</v>
      </c>
      <c r="J223" t="s">
        <v>617</v>
      </c>
      <c r="K223" t="s">
        <v>618</v>
      </c>
      <c r="M223" s="4">
        <v>4.8611111111111112E-3</v>
      </c>
    </row>
    <row r="224" spans="1:13" x14ac:dyDescent="0.3">
      <c r="A224" s="2">
        <v>46033</v>
      </c>
      <c r="B224" s="3">
        <v>0.50138888888888888</v>
      </c>
      <c r="C224" s="3">
        <v>0.50277777777777777</v>
      </c>
      <c r="D224" t="s">
        <v>15</v>
      </c>
      <c r="E224" t="s">
        <v>331</v>
      </c>
      <c r="F224" t="s">
        <v>642</v>
      </c>
      <c r="G224" t="s">
        <v>134</v>
      </c>
      <c r="H224" t="s">
        <v>548</v>
      </c>
      <c r="I224" t="s">
        <v>645</v>
      </c>
      <c r="J224" t="s">
        <v>619</v>
      </c>
      <c r="K224" t="s">
        <v>620</v>
      </c>
      <c r="M224" s="4">
        <v>1.3888888888888889E-3</v>
      </c>
    </row>
    <row r="225" spans="1:13" x14ac:dyDescent="0.3">
      <c r="A225" s="2">
        <v>46033</v>
      </c>
      <c r="B225" s="3">
        <v>0.54166666666666663</v>
      </c>
      <c r="C225" s="3">
        <v>0.54236111111111107</v>
      </c>
      <c r="D225" t="s">
        <v>15</v>
      </c>
      <c r="E225" t="s">
        <v>331</v>
      </c>
      <c r="F225" t="s">
        <v>642</v>
      </c>
      <c r="G225" t="s">
        <v>134</v>
      </c>
      <c r="H225" t="s">
        <v>621</v>
      </c>
      <c r="I225" t="s">
        <v>645</v>
      </c>
      <c r="J225" t="s">
        <v>622</v>
      </c>
      <c r="K225" t="s">
        <v>623</v>
      </c>
      <c r="M225" s="4">
        <v>6.9444444444444447E-4</v>
      </c>
    </row>
    <row r="226" spans="1:13" x14ac:dyDescent="0.3">
      <c r="A226" s="2">
        <v>46033</v>
      </c>
      <c r="B226" s="3">
        <v>0.50069444444444444</v>
      </c>
      <c r="C226" s="3">
        <v>0.50208333333333333</v>
      </c>
      <c r="D226" t="s">
        <v>15</v>
      </c>
      <c r="E226" t="s">
        <v>331</v>
      </c>
      <c r="F226" t="s">
        <v>312</v>
      </c>
      <c r="G226" t="s">
        <v>134</v>
      </c>
      <c r="H226" t="s">
        <v>625</v>
      </c>
      <c r="I226" t="s">
        <v>645</v>
      </c>
      <c r="J226" t="s">
        <v>626</v>
      </c>
      <c r="K226" t="s">
        <v>627</v>
      </c>
      <c r="L226" t="s">
        <v>628</v>
      </c>
      <c r="M226" s="4">
        <v>1.3888888888888889E-3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67A8D-15C3-47C3-904F-3B1A96746D50}">
  <dimension ref="A1:M116"/>
  <sheetViews>
    <sheetView workbookViewId="0">
      <selection activeCell="E6" sqref="E6"/>
    </sheetView>
  </sheetViews>
  <sheetFormatPr defaultRowHeight="14.4" x14ac:dyDescent="0.3"/>
  <cols>
    <col min="1" max="1" width="9.33203125" bestFit="1" customWidth="1"/>
    <col min="2" max="3" width="15.33203125" bestFit="1" customWidth="1"/>
    <col min="4" max="4" width="17.77734375" bestFit="1" customWidth="1"/>
    <col min="5" max="5" width="16.33203125" bestFit="1" customWidth="1"/>
    <col min="6" max="6" width="14.44140625" bestFit="1" customWidth="1"/>
    <col min="7" max="7" width="41.6640625" bestFit="1" customWidth="1"/>
    <col min="8" max="8" width="38.5546875" bestFit="1" customWidth="1"/>
    <col min="9" max="9" width="41" bestFit="1" customWidth="1"/>
    <col min="10" max="11" width="80.88671875" bestFit="1" customWidth="1"/>
    <col min="12" max="12" width="24.109375" bestFit="1" customWidth="1"/>
    <col min="13" max="13" width="80.8867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45966</v>
      </c>
      <c r="B2" s="1">
        <v>0.48263888888888884</v>
      </c>
      <c r="C2" s="1">
        <v>0.48750000000000004</v>
      </c>
      <c r="D2" t="s">
        <v>15</v>
      </c>
      <c r="E2" t="s">
        <v>331</v>
      </c>
      <c r="F2" t="s">
        <v>332</v>
      </c>
      <c r="G2" t="s">
        <v>29</v>
      </c>
      <c r="H2" t="s">
        <v>333</v>
      </c>
      <c r="I2" t="s">
        <v>334</v>
      </c>
      <c r="J2" t="s">
        <v>335</v>
      </c>
      <c r="K2" t="s">
        <v>336</v>
      </c>
      <c r="L2">
        <v>420</v>
      </c>
    </row>
    <row r="3" spans="1:13" x14ac:dyDescent="0.3">
      <c r="A3">
        <v>45973</v>
      </c>
      <c r="B3" s="1">
        <v>0.48958333333333326</v>
      </c>
      <c r="C3" s="1">
        <v>0.4916666666666667</v>
      </c>
      <c r="D3" t="s">
        <v>15</v>
      </c>
      <c r="E3" t="s">
        <v>331</v>
      </c>
      <c r="F3" t="s">
        <v>337</v>
      </c>
      <c r="G3" t="s">
        <v>18</v>
      </c>
      <c r="H3" t="s">
        <v>113</v>
      </c>
      <c r="I3" t="s">
        <v>334</v>
      </c>
      <c r="J3" t="s">
        <v>338</v>
      </c>
      <c r="K3" t="s">
        <v>339</v>
      </c>
      <c r="L3">
        <v>180</v>
      </c>
    </row>
    <row r="4" spans="1:13" x14ac:dyDescent="0.3">
      <c r="A4">
        <v>45968</v>
      </c>
      <c r="B4" s="1">
        <v>0.51111111111111107</v>
      </c>
      <c r="C4" s="1">
        <v>0.51180555555555562</v>
      </c>
      <c r="D4" t="s">
        <v>115</v>
      </c>
      <c r="E4" t="s">
        <v>331</v>
      </c>
      <c r="F4" t="s">
        <v>337</v>
      </c>
      <c r="G4" t="s">
        <v>18</v>
      </c>
      <c r="I4" t="s">
        <v>334</v>
      </c>
      <c r="J4" t="s">
        <v>340</v>
      </c>
      <c r="K4" t="s">
        <v>341</v>
      </c>
      <c r="L4">
        <v>60</v>
      </c>
      <c r="M4" t="s">
        <v>342</v>
      </c>
    </row>
    <row r="5" spans="1:13" x14ac:dyDescent="0.3">
      <c r="A5">
        <v>45980</v>
      </c>
      <c r="B5" s="1">
        <v>0.625</v>
      </c>
      <c r="C5" s="1">
        <v>0.62569444444444455</v>
      </c>
      <c r="D5" t="s">
        <v>15</v>
      </c>
      <c r="E5" t="s">
        <v>331</v>
      </c>
      <c r="F5" t="s">
        <v>337</v>
      </c>
      <c r="G5" t="s">
        <v>343</v>
      </c>
      <c r="H5" t="s">
        <v>344</v>
      </c>
      <c r="I5" t="s">
        <v>334</v>
      </c>
      <c r="J5" t="s">
        <v>345</v>
      </c>
      <c r="K5" t="s">
        <v>341</v>
      </c>
      <c r="L5">
        <v>60</v>
      </c>
      <c r="M5" t="s">
        <v>346</v>
      </c>
    </row>
    <row r="6" spans="1:13" x14ac:dyDescent="0.3">
      <c r="A6">
        <v>45980</v>
      </c>
      <c r="B6" s="1">
        <v>0.60972222222222228</v>
      </c>
      <c r="C6" s="1">
        <v>0.61111111111111116</v>
      </c>
      <c r="D6" t="s">
        <v>15</v>
      </c>
      <c r="E6" t="s">
        <v>331</v>
      </c>
      <c r="F6" t="s">
        <v>337</v>
      </c>
      <c r="G6" t="s">
        <v>24</v>
      </c>
      <c r="H6" t="s">
        <v>347</v>
      </c>
      <c r="I6" t="s">
        <v>334</v>
      </c>
      <c r="J6" t="s">
        <v>348</v>
      </c>
      <c r="K6" t="s">
        <v>349</v>
      </c>
      <c r="L6">
        <v>120</v>
      </c>
      <c r="M6" t="s">
        <v>350</v>
      </c>
    </row>
    <row r="7" spans="1:13" x14ac:dyDescent="0.3">
      <c r="A7">
        <v>45980</v>
      </c>
      <c r="B7" s="1">
        <v>0.60972222222222228</v>
      </c>
      <c r="C7" s="1">
        <v>0.61180555555555549</v>
      </c>
      <c r="D7" t="s">
        <v>15</v>
      </c>
      <c r="E7" t="s">
        <v>331</v>
      </c>
      <c r="F7" t="s">
        <v>337</v>
      </c>
      <c r="G7" t="s">
        <v>18</v>
      </c>
      <c r="H7" t="s">
        <v>40</v>
      </c>
      <c r="I7" t="s">
        <v>334</v>
      </c>
      <c r="J7" t="s">
        <v>351</v>
      </c>
      <c r="K7" t="s">
        <v>352</v>
      </c>
      <c r="L7">
        <v>180</v>
      </c>
      <c r="M7" t="s">
        <v>353</v>
      </c>
    </row>
    <row r="8" spans="1:13" x14ac:dyDescent="0.3">
      <c r="A8">
        <v>45973</v>
      </c>
      <c r="B8" s="1">
        <v>0.49305555555555558</v>
      </c>
      <c r="C8" s="1">
        <v>0.49444444444444446</v>
      </c>
      <c r="D8" t="s">
        <v>15</v>
      </c>
      <c r="E8" t="s">
        <v>331</v>
      </c>
      <c r="F8" t="s">
        <v>337</v>
      </c>
      <c r="G8" t="s">
        <v>24</v>
      </c>
      <c r="H8" t="s">
        <v>354</v>
      </c>
      <c r="I8" t="s">
        <v>334</v>
      </c>
      <c r="J8" t="s">
        <v>355</v>
      </c>
      <c r="K8" t="s">
        <v>356</v>
      </c>
      <c r="L8">
        <v>120</v>
      </c>
      <c r="M8" t="s">
        <v>357</v>
      </c>
    </row>
    <row r="9" spans="1:13" x14ac:dyDescent="0.3">
      <c r="B9" s="1">
        <v>0.49722222222222223</v>
      </c>
      <c r="C9" s="1">
        <v>0.49791666666666656</v>
      </c>
      <c r="D9" t="s">
        <v>15</v>
      </c>
      <c r="E9" t="s">
        <v>331</v>
      </c>
      <c r="F9" t="s">
        <v>337</v>
      </c>
      <c r="G9" t="s">
        <v>18</v>
      </c>
      <c r="H9" t="s">
        <v>50</v>
      </c>
      <c r="I9" t="s">
        <v>334</v>
      </c>
      <c r="J9" t="s">
        <v>358</v>
      </c>
      <c r="K9" t="s">
        <v>359</v>
      </c>
      <c r="L9">
        <v>60</v>
      </c>
      <c r="M9" t="s">
        <v>360</v>
      </c>
    </row>
    <row r="10" spans="1:13" x14ac:dyDescent="0.3">
      <c r="A10">
        <v>45984</v>
      </c>
      <c r="B10" s="1">
        <v>0.60347222222222219</v>
      </c>
      <c r="C10" s="1">
        <v>0.60416666666666674</v>
      </c>
      <c r="D10" t="s">
        <v>361</v>
      </c>
      <c r="E10" t="s">
        <v>331</v>
      </c>
      <c r="F10" t="s">
        <v>332</v>
      </c>
      <c r="G10" t="s">
        <v>24</v>
      </c>
      <c r="I10" t="s">
        <v>362</v>
      </c>
      <c r="J10" t="s">
        <v>363</v>
      </c>
      <c r="K10" t="s">
        <v>364</v>
      </c>
      <c r="L10">
        <v>60</v>
      </c>
    </row>
    <row r="11" spans="1:13" x14ac:dyDescent="0.3">
      <c r="A11">
        <v>45966</v>
      </c>
      <c r="B11" s="1"/>
      <c r="C11" s="1"/>
      <c r="D11" t="s">
        <v>15</v>
      </c>
      <c r="E11" t="s">
        <v>331</v>
      </c>
      <c r="M11" t="s">
        <v>365</v>
      </c>
    </row>
    <row r="12" spans="1:13" x14ac:dyDescent="0.3">
      <c r="A12">
        <v>45973</v>
      </c>
      <c r="B12" s="1">
        <v>0.46180555555555558</v>
      </c>
      <c r="C12" s="1">
        <v>0.46875</v>
      </c>
      <c r="D12" t="s">
        <v>15</v>
      </c>
      <c r="E12" t="s">
        <v>331</v>
      </c>
      <c r="F12" t="s">
        <v>332</v>
      </c>
      <c r="G12" t="s">
        <v>18</v>
      </c>
      <c r="H12" t="s">
        <v>300</v>
      </c>
      <c r="I12" t="s">
        <v>334</v>
      </c>
      <c r="J12" t="s">
        <v>366</v>
      </c>
      <c r="K12" t="s">
        <v>367</v>
      </c>
      <c r="L12">
        <v>600</v>
      </c>
      <c r="M12" t="s">
        <v>368</v>
      </c>
    </row>
    <row r="13" spans="1:13" x14ac:dyDescent="0.3">
      <c r="B13" s="1">
        <v>0.61458333333333326</v>
      </c>
      <c r="C13" s="1">
        <v>0.61527777777777781</v>
      </c>
      <c r="D13" t="s">
        <v>361</v>
      </c>
      <c r="E13" t="s">
        <v>331</v>
      </c>
      <c r="F13" t="s">
        <v>332</v>
      </c>
      <c r="G13" t="s">
        <v>29</v>
      </c>
      <c r="I13" t="s">
        <v>334</v>
      </c>
      <c r="J13" t="s">
        <v>369</v>
      </c>
      <c r="K13" t="s">
        <v>369</v>
      </c>
      <c r="L13">
        <v>60</v>
      </c>
    </row>
    <row r="14" spans="1:13" x14ac:dyDescent="0.3">
      <c r="A14">
        <v>45966</v>
      </c>
      <c r="B14" s="1">
        <v>0.49652777777777768</v>
      </c>
      <c r="C14" s="1">
        <v>0.49791666666666656</v>
      </c>
      <c r="D14" t="s">
        <v>15</v>
      </c>
      <c r="E14" t="s">
        <v>331</v>
      </c>
      <c r="F14" t="s">
        <v>337</v>
      </c>
      <c r="G14" t="s">
        <v>18</v>
      </c>
      <c r="H14" t="s">
        <v>50</v>
      </c>
      <c r="I14" t="s">
        <v>334</v>
      </c>
      <c r="J14" t="s">
        <v>370</v>
      </c>
      <c r="K14" t="s">
        <v>370</v>
      </c>
      <c r="L14">
        <v>120</v>
      </c>
      <c r="M14" t="s">
        <v>371</v>
      </c>
    </row>
    <row r="15" spans="1:13" x14ac:dyDescent="0.3">
      <c r="A15">
        <v>45973</v>
      </c>
      <c r="B15" s="1">
        <v>0.46736111111111112</v>
      </c>
      <c r="C15" s="1">
        <v>0.46875</v>
      </c>
      <c r="D15" t="s">
        <v>15</v>
      </c>
      <c r="E15" t="s">
        <v>331</v>
      </c>
      <c r="F15" t="s">
        <v>337</v>
      </c>
      <c r="G15" t="s">
        <v>18</v>
      </c>
      <c r="H15" t="s">
        <v>82</v>
      </c>
      <c r="I15" t="s">
        <v>362</v>
      </c>
      <c r="J15" t="s">
        <v>372</v>
      </c>
      <c r="K15" t="s">
        <v>372</v>
      </c>
      <c r="L15">
        <v>120</v>
      </c>
      <c r="M15" t="s">
        <v>373</v>
      </c>
    </row>
    <row r="16" spans="1:13" x14ac:dyDescent="0.3">
      <c r="A16">
        <v>45966</v>
      </c>
      <c r="B16" s="1">
        <v>0.49305555555555558</v>
      </c>
      <c r="C16" s="1">
        <v>0.49444444444444446</v>
      </c>
      <c r="D16" t="s">
        <v>15</v>
      </c>
      <c r="E16" t="s">
        <v>331</v>
      </c>
      <c r="F16" t="s">
        <v>332</v>
      </c>
      <c r="G16" t="s">
        <v>29</v>
      </c>
      <c r="H16" t="s">
        <v>374</v>
      </c>
      <c r="I16" t="s">
        <v>334</v>
      </c>
      <c r="J16" t="s">
        <v>375</v>
      </c>
      <c r="K16" t="s">
        <v>376</v>
      </c>
      <c r="L16">
        <v>120</v>
      </c>
    </row>
    <row r="17" spans="1:13" x14ac:dyDescent="0.3">
      <c r="A17">
        <v>45981</v>
      </c>
      <c r="B17" s="1">
        <v>0.51805555555555549</v>
      </c>
      <c r="C17" s="1">
        <v>0.51944444444444438</v>
      </c>
      <c r="D17" t="s">
        <v>115</v>
      </c>
      <c r="E17" t="s">
        <v>331</v>
      </c>
      <c r="F17" t="s">
        <v>337</v>
      </c>
      <c r="G17" t="s">
        <v>29</v>
      </c>
      <c r="H17" t="s">
        <v>377</v>
      </c>
      <c r="I17" t="s">
        <v>378</v>
      </c>
      <c r="J17" t="s">
        <v>379</v>
      </c>
      <c r="K17" t="s">
        <v>380</v>
      </c>
      <c r="L17">
        <v>120</v>
      </c>
    </row>
    <row r="18" spans="1:13" x14ac:dyDescent="0.3">
      <c r="A18">
        <v>45973</v>
      </c>
      <c r="B18" s="1">
        <v>0.48958333333333326</v>
      </c>
      <c r="C18" s="1">
        <v>0.49027777777777781</v>
      </c>
      <c r="D18" t="s">
        <v>15</v>
      </c>
      <c r="E18" t="s">
        <v>331</v>
      </c>
      <c r="F18" t="s">
        <v>332</v>
      </c>
      <c r="G18" t="s">
        <v>29</v>
      </c>
      <c r="H18" t="s">
        <v>381</v>
      </c>
      <c r="I18" t="s">
        <v>382</v>
      </c>
      <c r="J18" t="s">
        <v>383</v>
      </c>
      <c r="K18" t="s">
        <v>122</v>
      </c>
      <c r="L18">
        <v>60</v>
      </c>
    </row>
    <row r="19" spans="1:13" x14ac:dyDescent="0.3">
      <c r="A19">
        <v>45980</v>
      </c>
      <c r="B19" s="1">
        <v>0.64930555555555558</v>
      </c>
      <c r="C19" s="1">
        <v>0.6513888888888888</v>
      </c>
      <c r="D19" t="s">
        <v>15</v>
      </c>
      <c r="E19" t="s">
        <v>331</v>
      </c>
      <c r="F19" t="s">
        <v>337</v>
      </c>
      <c r="G19" t="s">
        <v>29</v>
      </c>
      <c r="H19" t="s">
        <v>384</v>
      </c>
      <c r="I19" t="s">
        <v>334</v>
      </c>
      <c r="J19" t="s">
        <v>385</v>
      </c>
      <c r="L19">
        <v>180</v>
      </c>
    </row>
    <row r="20" spans="1:13" x14ac:dyDescent="0.3">
      <c r="A20">
        <v>45980</v>
      </c>
      <c r="B20" s="1">
        <v>0.64861111111111103</v>
      </c>
      <c r="C20" s="1">
        <v>0.65069444444444446</v>
      </c>
      <c r="D20" t="s">
        <v>15</v>
      </c>
      <c r="E20" t="s">
        <v>331</v>
      </c>
      <c r="F20" t="s">
        <v>337</v>
      </c>
      <c r="G20" t="s">
        <v>18</v>
      </c>
      <c r="H20" t="s">
        <v>386</v>
      </c>
      <c r="I20" t="s">
        <v>387</v>
      </c>
      <c r="J20" t="s">
        <v>388</v>
      </c>
      <c r="K20" t="s">
        <v>122</v>
      </c>
      <c r="L20">
        <v>180</v>
      </c>
    </row>
    <row r="21" spans="1:13" x14ac:dyDescent="0.3">
      <c r="A21">
        <v>45980</v>
      </c>
      <c r="B21" s="1">
        <v>0.60833333333333339</v>
      </c>
      <c r="C21" s="1">
        <v>0.60902777777777772</v>
      </c>
      <c r="D21" t="s">
        <v>15</v>
      </c>
      <c r="E21" t="s">
        <v>331</v>
      </c>
      <c r="F21" t="s">
        <v>337</v>
      </c>
      <c r="G21" t="s">
        <v>29</v>
      </c>
      <c r="H21" t="s">
        <v>165</v>
      </c>
      <c r="I21" t="s">
        <v>389</v>
      </c>
      <c r="J21" t="s">
        <v>388</v>
      </c>
      <c r="K21" t="s">
        <v>122</v>
      </c>
      <c r="L21">
        <v>120</v>
      </c>
    </row>
    <row r="22" spans="1:13" x14ac:dyDescent="0.3">
      <c r="A22">
        <v>45980</v>
      </c>
      <c r="B22" s="1">
        <v>0.59166666666666656</v>
      </c>
      <c r="C22" s="1">
        <v>0.63402777777777786</v>
      </c>
      <c r="D22" t="s">
        <v>15</v>
      </c>
      <c r="E22" t="s">
        <v>331</v>
      </c>
      <c r="F22" t="s">
        <v>332</v>
      </c>
      <c r="G22" t="s">
        <v>24</v>
      </c>
      <c r="H22" t="s">
        <v>390</v>
      </c>
      <c r="J22" t="s">
        <v>391</v>
      </c>
      <c r="K22" t="s">
        <v>391</v>
      </c>
      <c r="L22">
        <v>60</v>
      </c>
    </row>
    <row r="23" spans="1:13" x14ac:dyDescent="0.3">
      <c r="A23">
        <v>45966</v>
      </c>
      <c r="B23" s="1">
        <v>0.48819444444444438</v>
      </c>
      <c r="C23" s="1">
        <v>0.48958333333333326</v>
      </c>
      <c r="D23" t="s">
        <v>15</v>
      </c>
      <c r="E23" t="s">
        <v>331</v>
      </c>
      <c r="F23" t="s">
        <v>332</v>
      </c>
      <c r="G23" t="s">
        <v>29</v>
      </c>
      <c r="H23" t="s">
        <v>392</v>
      </c>
      <c r="I23" t="s">
        <v>334</v>
      </c>
      <c r="J23" t="s">
        <v>393</v>
      </c>
      <c r="K23" t="s">
        <v>393</v>
      </c>
      <c r="L23">
        <v>120</v>
      </c>
    </row>
    <row r="24" spans="1:13" x14ac:dyDescent="0.3">
      <c r="A24">
        <v>45984</v>
      </c>
      <c r="B24" s="1">
        <v>0.59583333333333344</v>
      </c>
      <c r="C24" s="1">
        <v>0.59722222222222232</v>
      </c>
      <c r="D24" t="s">
        <v>361</v>
      </c>
      <c r="E24" t="s">
        <v>331</v>
      </c>
      <c r="F24" t="s">
        <v>332</v>
      </c>
      <c r="J24" t="s">
        <v>394</v>
      </c>
      <c r="K24" t="s">
        <v>394</v>
      </c>
      <c r="L24">
        <v>120</v>
      </c>
    </row>
    <row r="25" spans="1:13" x14ac:dyDescent="0.3">
      <c r="A25">
        <v>45981</v>
      </c>
      <c r="B25" s="1">
        <v>0.48750000000000004</v>
      </c>
      <c r="C25" s="1">
        <v>0.48819444444444438</v>
      </c>
      <c r="D25" t="s">
        <v>28</v>
      </c>
      <c r="E25" t="s">
        <v>331</v>
      </c>
      <c r="F25" t="s">
        <v>332</v>
      </c>
      <c r="G25" t="s">
        <v>18</v>
      </c>
      <c r="H25" t="s">
        <v>386</v>
      </c>
      <c r="I25" t="s">
        <v>334</v>
      </c>
      <c r="J25" t="s">
        <v>395</v>
      </c>
      <c r="K25" t="s">
        <v>396</v>
      </c>
      <c r="L25">
        <v>60</v>
      </c>
      <c r="M25" t="s">
        <v>397</v>
      </c>
    </row>
    <row r="26" spans="1:13" x14ac:dyDescent="0.3">
      <c r="A26">
        <v>45973</v>
      </c>
      <c r="B26" s="1">
        <v>0.45069444444444451</v>
      </c>
      <c r="C26" s="1">
        <v>0.45138888888888884</v>
      </c>
      <c r="D26" t="s">
        <v>15</v>
      </c>
      <c r="E26" t="s">
        <v>331</v>
      </c>
      <c r="F26" t="s">
        <v>337</v>
      </c>
      <c r="G26" t="s">
        <v>24</v>
      </c>
      <c r="H26" t="s">
        <v>398</v>
      </c>
      <c r="I26" t="s">
        <v>334</v>
      </c>
      <c r="J26" t="s">
        <v>399</v>
      </c>
      <c r="K26" t="s">
        <v>400</v>
      </c>
      <c r="L26">
        <v>60</v>
      </c>
    </row>
    <row r="27" spans="1:13" x14ac:dyDescent="0.3">
      <c r="A27">
        <v>45973</v>
      </c>
      <c r="B27" s="1">
        <v>0.49652777777777768</v>
      </c>
      <c r="C27" s="1">
        <v>0.49930555555555545</v>
      </c>
      <c r="D27" t="s">
        <v>15</v>
      </c>
      <c r="E27" t="s">
        <v>331</v>
      </c>
      <c r="F27" t="s">
        <v>337</v>
      </c>
      <c r="G27" t="s">
        <v>18</v>
      </c>
      <c r="H27" t="s">
        <v>401</v>
      </c>
      <c r="I27" t="s">
        <v>334</v>
      </c>
      <c r="J27" t="s">
        <v>402</v>
      </c>
    </row>
    <row r="28" spans="1:13" x14ac:dyDescent="0.3">
      <c r="A28">
        <v>45966</v>
      </c>
      <c r="B28" s="1">
        <v>0.52777777777777768</v>
      </c>
      <c r="C28" s="1">
        <v>0.52847222222222223</v>
      </c>
      <c r="D28" t="s">
        <v>15</v>
      </c>
      <c r="E28" t="s">
        <v>331</v>
      </c>
      <c r="F28" t="s">
        <v>337</v>
      </c>
      <c r="G28" t="s">
        <v>343</v>
      </c>
      <c r="H28" t="s">
        <v>138</v>
      </c>
      <c r="I28" t="s">
        <v>334</v>
      </c>
      <c r="J28" t="s">
        <v>403</v>
      </c>
      <c r="K28" t="s">
        <v>404</v>
      </c>
      <c r="L28">
        <v>60</v>
      </c>
      <c r="M28" t="s">
        <v>405</v>
      </c>
    </row>
    <row r="29" spans="1:13" x14ac:dyDescent="0.3">
      <c r="A29">
        <v>45984</v>
      </c>
      <c r="B29" s="1">
        <v>0.60694444444444451</v>
      </c>
      <c r="C29" s="1">
        <v>0.60694444444444451</v>
      </c>
      <c r="D29" t="s">
        <v>361</v>
      </c>
      <c r="E29" t="s">
        <v>331</v>
      </c>
      <c r="F29" t="s">
        <v>332</v>
      </c>
      <c r="G29" t="s">
        <v>29</v>
      </c>
      <c r="J29" t="s">
        <v>406</v>
      </c>
      <c r="K29" t="s">
        <v>122</v>
      </c>
      <c r="L29">
        <v>60</v>
      </c>
    </row>
    <row r="30" spans="1:13" x14ac:dyDescent="0.3">
      <c r="A30">
        <v>45984</v>
      </c>
      <c r="B30" s="1">
        <v>0.60486111111111107</v>
      </c>
      <c r="C30" s="1">
        <v>0.60555555555555562</v>
      </c>
      <c r="D30" t="s">
        <v>361</v>
      </c>
      <c r="E30" t="s">
        <v>331</v>
      </c>
      <c r="F30" t="s">
        <v>332</v>
      </c>
      <c r="J30" t="s">
        <v>407</v>
      </c>
      <c r="K30" t="s">
        <v>408</v>
      </c>
      <c r="L30">
        <v>60</v>
      </c>
    </row>
    <row r="31" spans="1:13" x14ac:dyDescent="0.3">
      <c r="A31">
        <v>45997</v>
      </c>
      <c r="B31" s="1">
        <v>0.51944444444444438</v>
      </c>
      <c r="C31" s="1">
        <v>0.52152777777777781</v>
      </c>
      <c r="D31" t="s">
        <v>409</v>
      </c>
      <c r="E31" t="s">
        <v>331</v>
      </c>
      <c r="F31" t="s">
        <v>337</v>
      </c>
      <c r="G31" t="s">
        <v>24</v>
      </c>
      <c r="I31" t="s">
        <v>334</v>
      </c>
      <c r="J31" t="s">
        <v>410</v>
      </c>
      <c r="K31" t="s">
        <v>411</v>
      </c>
      <c r="L31">
        <v>180</v>
      </c>
      <c r="M31" t="s">
        <v>412</v>
      </c>
    </row>
    <row r="32" spans="1:13" x14ac:dyDescent="0.3">
      <c r="A32">
        <v>45973</v>
      </c>
      <c r="B32" s="1">
        <v>0.49652777777777768</v>
      </c>
      <c r="C32" s="1">
        <v>0.49930555555555545</v>
      </c>
      <c r="E32" t="s">
        <v>331</v>
      </c>
      <c r="F32" t="s">
        <v>337</v>
      </c>
      <c r="G32" t="s">
        <v>18</v>
      </c>
      <c r="H32" t="s">
        <v>40</v>
      </c>
      <c r="I32" t="s">
        <v>334</v>
      </c>
      <c r="J32" t="s">
        <v>413</v>
      </c>
      <c r="K32" t="s">
        <v>413</v>
      </c>
      <c r="L32">
        <v>240</v>
      </c>
    </row>
    <row r="33" spans="1:13" x14ac:dyDescent="0.3">
      <c r="A33">
        <v>45993</v>
      </c>
      <c r="B33" s="1">
        <v>0.50069444444444455</v>
      </c>
      <c r="C33" s="1">
        <v>0.50208333333333344</v>
      </c>
      <c r="E33" t="s">
        <v>331</v>
      </c>
      <c r="F33" t="s">
        <v>337</v>
      </c>
      <c r="G33" t="s">
        <v>29</v>
      </c>
      <c r="H33" t="s">
        <v>414</v>
      </c>
      <c r="I33" t="s">
        <v>334</v>
      </c>
      <c r="J33" t="s">
        <v>415</v>
      </c>
      <c r="K33" t="s">
        <v>415</v>
      </c>
      <c r="L33">
        <v>120</v>
      </c>
    </row>
    <row r="34" spans="1:13" x14ac:dyDescent="0.3">
      <c r="A34">
        <v>45993</v>
      </c>
      <c r="B34" s="1">
        <v>0.50416666666666665</v>
      </c>
      <c r="C34" s="1">
        <v>0.5048611111111112</v>
      </c>
      <c r="E34" t="s">
        <v>331</v>
      </c>
      <c r="F34" t="s">
        <v>337</v>
      </c>
      <c r="G34" t="s">
        <v>18</v>
      </c>
      <c r="H34" t="s">
        <v>47</v>
      </c>
      <c r="I34" t="s">
        <v>334</v>
      </c>
      <c r="J34" t="s">
        <v>416</v>
      </c>
      <c r="K34" t="s">
        <v>416</v>
      </c>
      <c r="L34">
        <v>60</v>
      </c>
    </row>
    <row r="35" spans="1:13" x14ac:dyDescent="0.3">
      <c r="A35">
        <v>45993</v>
      </c>
      <c r="B35" s="1">
        <v>0.50625000000000009</v>
      </c>
      <c r="C35" s="1">
        <v>0.50694444444444442</v>
      </c>
      <c r="E35" t="s">
        <v>331</v>
      </c>
      <c r="F35" t="s">
        <v>332</v>
      </c>
      <c r="G35" t="s">
        <v>29</v>
      </c>
      <c r="H35" t="s">
        <v>417</v>
      </c>
      <c r="I35" t="s">
        <v>334</v>
      </c>
      <c r="J35" t="s">
        <v>418</v>
      </c>
      <c r="K35" t="s">
        <v>418</v>
      </c>
      <c r="L35">
        <v>60</v>
      </c>
    </row>
    <row r="36" spans="1:13" x14ac:dyDescent="0.3">
      <c r="A36">
        <v>45993</v>
      </c>
      <c r="B36" s="1">
        <v>0.50972222222222219</v>
      </c>
      <c r="C36" s="1">
        <v>0.50972222222222219</v>
      </c>
      <c r="E36" t="s">
        <v>331</v>
      </c>
      <c r="F36" t="s">
        <v>332</v>
      </c>
      <c r="G36" t="s">
        <v>29</v>
      </c>
      <c r="H36" t="s">
        <v>419</v>
      </c>
      <c r="I36" t="s">
        <v>334</v>
      </c>
      <c r="J36" t="s">
        <v>420</v>
      </c>
      <c r="K36" t="s">
        <v>122</v>
      </c>
      <c r="L36">
        <v>60</v>
      </c>
      <c r="M36" t="s">
        <v>421</v>
      </c>
    </row>
    <row r="37" spans="1:13" x14ac:dyDescent="0.3">
      <c r="A37">
        <v>45993</v>
      </c>
      <c r="B37" s="1">
        <v>0.51111111111111107</v>
      </c>
      <c r="C37" s="1">
        <v>0.51111111111111107</v>
      </c>
      <c r="E37" t="s">
        <v>331</v>
      </c>
      <c r="F37" t="s">
        <v>332</v>
      </c>
      <c r="G37" t="s">
        <v>29</v>
      </c>
      <c r="H37" t="s">
        <v>422</v>
      </c>
      <c r="I37" t="s">
        <v>334</v>
      </c>
      <c r="J37" t="s">
        <v>423</v>
      </c>
      <c r="K37" t="s">
        <v>423</v>
      </c>
      <c r="L37">
        <v>60</v>
      </c>
    </row>
    <row r="38" spans="1:13" x14ac:dyDescent="0.3">
      <c r="B38" s="1">
        <v>0.51527777777777772</v>
      </c>
      <c r="C38" s="1">
        <v>0.51527777777777772</v>
      </c>
      <c r="E38" t="s">
        <v>331</v>
      </c>
      <c r="F38" t="s">
        <v>332</v>
      </c>
      <c r="G38" t="s">
        <v>29</v>
      </c>
      <c r="H38" t="s">
        <v>424</v>
      </c>
      <c r="I38" t="s">
        <v>362</v>
      </c>
      <c r="J38" t="s">
        <v>425</v>
      </c>
      <c r="K38" t="s">
        <v>426</v>
      </c>
      <c r="L38">
        <v>60</v>
      </c>
      <c r="M38" t="s">
        <v>427</v>
      </c>
    </row>
    <row r="39" spans="1:13" x14ac:dyDescent="0.3">
      <c r="B39" s="1">
        <v>0.51249999999999996</v>
      </c>
      <c r="C39" s="1">
        <v>0.51597222222222228</v>
      </c>
      <c r="E39" t="s">
        <v>331</v>
      </c>
      <c r="F39" t="s">
        <v>337</v>
      </c>
      <c r="G39" t="s">
        <v>18</v>
      </c>
      <c r="H39" t="s">
        <v>428</v>
      </c>
      <c r="I39" t="s">
        <v>334</v>
      </c>
      <c r="J39" t="s">
        <v>429</v>
      </c>
      <c r="K39" t="s">
        <v>429</v>
      </c>
      <c r="L39">
        <v>300</v>
      </c>
    </row>
    <row r="40" spans="1:13" x14ac:dyDescent="0.3">
      <c r="B40" s="1">
        <v>0.51805555555555549</v>
      </c>
      <c r="C40" s="1">
        <v>0.51875000000000004</v>
      </c>
      <c r="E40" t="s">
        <v>331</v>
      </c>
      <c r="F40" t="s">
        <v>337</v>
      </c>
      <c r="G40" t="s">
        <v>18</v>
      </c>
      <c r="H40" t="s">
        <v>430</v>
      </c>
      <c r="I40" t="s">
        <v>334</v>
      </c>
      <c r="J40" t="s">
        <v>431</v>
      </c>
      <c r="K40" t="s">
        <v>431</v>
      </c>
      <c r="L40">
        <v>60</v>
      </c>
    </row>
    <row r="41" spans="1:13" x14ac:dyDescent="0.3">
      <c r="B41" s="1">
        <v>0.52083333333333326</v>
      </c>
      <c r="C41" s="1">
        <v>0.52152777777777781</v>
      </c>
      <c r="E41" t="s">
        <v>331</v>
      </c>
      <c r="F41" t="s">
        <v>337</v>
      </c>
      <c r="G41" t="s">
        <v>18</v>
      </c>
      <c r="H41" t="s">
        <v>300</v>
      </c>
      <c r="I41" t="s">
        <v>334</v>
      </c>
      <c r="J41" t="s">
        <v>432</v>
      </c>
      <c r="K41" t="s">
        <v>432</v>
      </c>
      <c r="L41">
        <v>60</v>
      </c>
    </row>
    <row r="42" spans="1:13" x14ac:dyDescent="0.3">
      <c r="B42" s="1">
        <v>0.52430555555555558</v>
      </c>
      <c r="C42" s="1">
        <v>0.52430555555555558</v>
      </c>
      <c r="E42" t="s">
        <v>331</v>
      </c>
      <c r="F42" t="s">
        <v>337</v>
      </c>
      <c r="G42" t="s">
        <v>29</v>
      </c>
      <c r="H42" t="s">
        <v>433</v>
      </c>
      <c r="I42" t="s">
        <v>334</v>
      </c>
      <c r="J42" t="s">
        <v>434</v>
      </c>
      <c r="K42" t="s">
        <v>434</v>
      </c>
      <c r="L42">
        <v>60</v>
      </c>
    </row>
    <row r="43" spans="1:13" x14ac:dyDescent="0.3">
      <c r="B43" s="1">
        <v>0.53333333333333344</v>
      </c>
      <c r="C43" s="1">
        <v>0.53333333333333344</v>
      </c>
      <c r="E43" t="s">
        <v>331</v>
      </c>
      <c r="F43" t="s">
        <v>332</v>
      </c>
      <c r="G43" t="s">
        <v>29</v>
      </c>
      <c r="H43" t="s">
        <v>419</v>
      </c>
      <c r="I43" t="s">
        <v>334</v>
      </c>
      <c r="J43" t="s">
        <v>435</v>
      </c>
      <c r="K43" t="s">
        <v>122</v>
      </c>
      <c r="L43">
        <v>60</v>
      </c>
    </row>
    <row r="44" spans="1:13" x14ac:dyDescent="0.3">
      <c r="A44">
        <v>45998</v>
      </c>
      <c r="B44" s="1">
        <v>0.48402777777777772</v>
      </c>
      <c r="C44" s="1">
        <v>0.48402777777777772</v>
      </c>
      <c r="D44" t="s">
        <v>28</v>
      </c>
      <c r="E44" t="s">
        <v>331</v>
      </c>
      <c r="F44" t="s">
        <v>337</v>
      </c>
      <c r="G44" t="s">
        <v>29</v>
      </c>
      <c r="H44" t="s">
        <v>436</v>
      </c>
      <c r="I44" t="s">
        <v>334</v>
      </c>
      <c r="J44" t="s">
        <v>437</v>
      </c>
      <c r="K44" t="s">
        <v>438</v>
      </c>
      <c r="L44">
        <v>60</v>
      </c>
    </row>
    <row r="45" spans="1:13" x14ac:dyDescent="0.3">
      <c r="A45">
        <v>45994</v>
      </c>
      <c r="B45" s="1">
        <v>0.47152777777777777</v>
      </c>
      <c r="C45" s="1">
        <v>0.47222222222222232</v>
      </c>
      <c r="D45" t="s">
        <v>15</v>
      </c>
      <c r="E45" t="s">
        <v>331</v>
      </c>
      <c r="F45" t="s">
        <v>332</v>
      </c>
      <c r="G45" t="s">
        <v>29</v>
      </c>
      <c r="H45" t="s">
        <v>439</v>
      </c>
      <c r="I45" t="s">
        <v>334</v>
      </c>
      <c r="J45" t="s">
        <v>440</v>
      </c>
      <c r="K45" t="s">
        <v>122</v>
      </c>
      <c r="L45">
        <v>60</v>
      </c>
    </row>
    <row r="46" spans="1:13" x14ac:dyDescent="0.3">
      <c r="A46">
        <v>45988</v>
      </c>
      <c r="B46" s="1">
        <v>0.50902777777777786</v>
      </c>
      <c r="C46" s="1">
        <v>0.50972222222222219</v>
      </c>
      <c r="D46" t="s">
        <v>15</v>
      </c>
      <c r="E46" t="s">
        <v>331</v>
      </c>
      <c r="F46" t="s">
        <v>332</v>
      </c>
      <c r="G46" t="s">
        <v>18</v>
      </c>
      <c r="H46" t="s">
        <v>300</v>
      </c>
      <c r="I46" t="s">
        <v>334</v>
      </c>
      <c r="J46" t="s">
        <v>441</v>
      </c>
      <c r="K46" t="s">
        <v>122</v>
      </c>
      <c r="L46">
        <v>60</v>
      </c>
      <c r="M46" t="s">
        <v>442</v>
      </c>
    </row>
    <row r="47" spans="1:13" x14ac:dyDescent="0.3">
      <c r="B47" s="1">
        <v>0.52013888888888893</v>
      </c>
      <c r="C47" s="1">
        <v>0.52083333333333326</v>
      </c>
      <c r="E47" t="s">
        <v>331</v>
      </c>
      <c r="F47" t="s">
        <v>337</v>
      </c>
      <c r="G47" t="s">
        <v>29</v>
      </c>
      <c r="H47" t="s">
        <v>386</v>
      </c>
      <c r="I47" t="s">
        <v>334</v>
      </c>
      <c r="J47" t="s">
        <v>443</v>
      </c>
      <c r="K47" t="s">
        <v>444</v>
      </c>
      <c r="L47">
        <v>60</v>
      </c>
    </row>
    <row r="48" spans="1:13" x14ac:dyDescent="0.3">
      <c r="B48" s="1">
        <v>0.53819444444444442</v>
      </c>
      <c r="C48" s="1">
        <v>0.53819444444444442</v>
      </c>
      <c r="E48" t="s">
        <v>331</v>
      </c>
      <c r="G48" t="s">
        <v>29</v>
      </c>
      <c r="H48" t="s">
        <v>445</v>
      </c>
      <c r="I48" t="s">
        <v>334</v>
      </c>
      <c r="J48" t="s">
        <v>446</v>
      </c>
      <c r="K48" t="s">
        <v>122</v>
      </c>
      <c r="L48">
        <v>60</v>
      </c>
    </row>
    <row r="49" spans="1:13" x14ac:dyDescent="0.3">
      <c r="A49">
        <v>45989</v>
      </c>
      <c r="B49" s="1">
        <v>0.61180555555555549</v>
      </c>
      <c r="C49" s="1">
        <v>0.61250000000000004</v>
      </c>
      <c r="D49" t="s">
        <v>115</v>
      </c>
      <c r="E49" t="s">
        <v>331</v>
      </c>
      <c r="F49" t="s">
        <v>332</v>
      </c>
      <c r="G49" t="s">
        <v>29</v>
      </c>
      <c r="I49" t="s">
        <v>334</v>
      </c>
      <c r="J49" t="s">
        <v>447</v>
      </c>
      <c r="K49" t="s">
        <v>448</v>
      </c>
      <c r="L49">
        <v>60</v>
      </c>
      <c r="M49" t="s">
        <v>449</v>
      </c>
    </row>
    <row r="50" spans="1:13" x14ac:dyDescent="0.3">
      <c r="B50" s="1">
        <v>0.51111111111111107</v>
      </c>
      <c r="C50" s="1">
        <v>0.51180555555555562</v>
      </c>
      <c r="E50" t="s">
        <v>331</v>
      </c>
      <c r="F50" t="s">
        <v>332</v>
      </c>
      <c r="G50" t="s">
        <v>29</v>
      </c>
      <c r="H50" t="s">
        <v>450</v>
      </c>
      <c r="I50" t="s">
        <v>334</v>
      </c>
      <c r="J50" t="s">
        <v>451</v>
      </c>
      <c r="K50" t="s">
        <v>452</v>
      </c>
      <c r="L50">
        <v>60</v>
      </c>
    </row>
    <row r="51" spans="1:13" x14ac:dyDescent="0.3">
      <c r="B51" s="1">
        <v>0.53888888888888897</v>
      </c>
      <c r="C51" s="1">
        <v>0.5395833333333333</v>
      </c>
      <c r="E51" t="s">
        <v>331</v>
      </c>
      <c r="F51" t="s">
        <v>332</v>
      </c>
      <c r="G51" t="s">
        <v>18</v>
      </c>
      <c r="H51" t="s">
        <v>453</v>
      </c>
      <c r="I51" t="s">
        <v>334</v>
      </c>
      <c r="J51" t="s">
        <v>454</v>
      </c>
      <c r="K51" t="s">
        <v>455</v>
      </c>
      <c r="L51">
        <v>60</v>
      </c>
    </row>
    <row r="52" spans="1:13" x14ac:dyDescent="0.3">
      <c r="A52">
        <v>45980</v>
      </c>
      <c r="B52" s="1">
        <v>0.60694444444444451</v>
      </c>
      <c r="C52" s="1">
        <v>0.61041666666666661</v>
      </c>
      <c r="D52" t="s">
        <v>15</v>
      </c>
      <c r="E52" t="s">
        <v>331</v>
      </c>
      <c r="F52" t="s">
        <v>332</v>
      </c>
      <c r="G52" t="s">
        <v>18</v>
      </c>
      <c r="H52" t="s">
        <v>456</v>
      </c>
      <c r="I52" t="s">
        <v>334</v>
      </c>
      <c r="J52" t="s">
        <v>457</v>
      </c>
      <c r="K52" t="s">
        <v>458</v>
      </c>
      <c r="L52">
        <v>300</v>
      </c>
    </row>
    <row r="53" spans="1:13" x14ac:dyDescent="0.3">
      <c r="A53">
        <v>45973</v>
      </c>
      <c r="B53" s="1">
        <v>0.45972222222222214</v>
      </c>
      <c r="C53" s="1">
        <v>0.4604166666666667</v>
      </c>
      <c r="D53" t="s">
        <v>15</v>
      </c>
      <c r="E53" t="s">
        <v>331</v>
      </c>
      <c r="F53" t="s">
        <v>337</v>
      </c>
      <c r="G53" t="s">
        <v>18</v>
      </c>
      <c r="H53" t="s">
        <v>459</v>
      </c>
      <c r="I53" t="s">
        <v>334</v>
      </c>
      <c r="J53" t="s">
        <v>460</v>
      </c>
      <c r="K53" t="s">
        <v>461</v>
      </c>
      <c r="L53">
        <v>60</v>
      </c>
    </row>
    <row r="54" spans="1:13" x14ac:dyDescent="0.3">
      <c r="A54">
        <v>45980</v>
      </c>
      <c r="B54" s="1">
        <v>0.60763888888888884</v>
      </c>
      <c r="C54" s="1">
        <v>0.60833333333333339</v>
      </c>
      <c r="D54" t="s">
        <v>15</v>
      </c>
      <c r="E54" t="s">
        <v>331</v>
      </c>
      <c r="F54" t="s">
        <v>337</v>
      </c>
      <c r="G54" t="s">
        <v>29</v>
      </c>
      <c r="H54" t="s">
        <v>462</v>
      </c>
      <c r="I54" t="s">
        <v>334</v>
      </c>
      <c r="J54" t="s">
        <v>463</v>
      </c>
      <c r="K54" t="s">
        <v>464</v>
      </c>
      <c r="L54">
        <v>60</v>
      </c>
    </row>
    <row r="55" spans="1:13" x14ac:dyDescent="0.3">
      <c r="A55">
        <v>45973</v>
      </c>
      <c r="B55" s="1">
        <v>0.46805555555555545</v>
      </c>
      <c r="C55" s="1">
        <v>0.46875</v>
      </c>
      <c r="D55" t="s">
        <v>15</v>
      </c>
      <c r="E55" t="s">
        <v>331</v>
      </c>
      <c r="F55" t="s">
        <v>337</v>
      </c>
      <c r="G55" t="s">
        <v>29</v>
      </c>
      <c r="H55" t="s">
        <v>465</v>
      </c>
      <c r="I55" t="s">
        <v>20</v>
      </c>
      <c r="J55" t="s">
        <v>466</v>
      </c>
      <c r="K55" t="s">
        <v>467</v>
      </c>
      <c r="L55">
        <v>60</v>
      </c>
    </row>
    <row r="56" spans="1:13" x14ac:dyDescent="0.3">
      <c r="A56">
        <v>45988</v>
      </c>
      <c r="B56" s="1">
        <v>0.46527777777777768</v>
      </c>
      <c r="C56" s="1">
        <v>0.46666666666666656</v>
      </c>
      <c r="D56" t="s">
        <v>15</v>
      </c>
      <c r="E56" t="s">
        <v>331</v>
      </c>
      <c r="F56" t="s">
        <v>337</v>
      </c>
      <c r="G56" t="s">
        <v>24</v>
      </c>
      <c r="H56" t="s">
        <v>468</v>
      </c>
      <c r="I56" t="s">
        <v>334</v>
      </c>
      <c r="J56" t="s">
        <v>469</v>
      </c>
      <c r="K56" t="s">
        <v>469</v>
      </c>
      <c r="L56">
        <v>120</v>
      </c>
    </row>
    <row r="57" spans="1:13" x14ac:dyDescent="0.3">
      <c r="A57">
        <v>45991</v>
      </c>
      <c r="B57" s="1">
        <v>0.54861111111111116</v>
      </c>
      <c r="C57" s="1">
        <v>0.54861111111111116</v>
      </c>
      <c r="D57" t="s">
        <v>147</v>
      </c>
      <c r="E57" t="s">
        <v>331</v>
      </c>
      <c r="F57" t="s">
        <v>332</v>
      </c>
      <c r="G57" t="s">
        <v>29</v>
      </c>
      <c r="H57" t="s">
        <v>470</v>
      </c>
      <c r="I57" t="s">
        <v>334</v>
      </c>
      <c r="J57" t="s">
        <v>471</v>
      </c>
      <c r="K57" t="s">
        <v>122</v>
      </c>
      <c r="L57">
        <v>60</v>
      </c>
      <c r="M57" t="s">
        <v>472</v>
      </c>
    </row>
    <row r="58" spans="1:13" x14ac:dyDescent="0.3">
      <c r="A58">
        <v>45991</v>
      </c>
      <c r="B58" s="1">
        <v>0.55138888888888893</v>
      </c>
      <c r="C58" s="1">
        <v>0.55138888888888893</v>
      </c>
      <c r="D58" t="s">
        <v>147</v>
      </c>
      <c r="E58" t="s">
        <v>331</v>
      </c>
      <c r="F58" t="s">
        <v>332</v>
      </c>
      <c r="G58" t="s">
        <v>18</v>
      </c>
      <c r="H58" t="s">
        <v>473</v>
      </c>
      <c r="I58" t="s">
        <v>20</v>
      </c>
      <c r="J58" t="s">
        <v>441</v>
      </c>
      <c r="K58" t="s">
        <v>122</v>
      </c>
      <c r="L58">
        <v>60</v>
      </c>
      <c r="M58" t="s">
        <v>474</v>
      </c>
    </row>
    <row r="59" spans="1:13" x14ac:dyDescent="0.3">
      <c r="A59">
        <v>45988</v>
      </c>
      <c r="B59" s="1">
        <v>0.48958333333333326</v>
      </c>
      <c r="C59" s="1">
        <v>0.49027777777777781</v>
      </c>
      <c r="D59" t="s">
        <v>15</v>
      </c>
      <c r="E59" t="s">
        <v>331</v>
      </c>
      <c r="F59" t="s">
        <v>332</v>
      </c>
      <c r="G59" t="s">
        <v>24</v>
      </c>
      <c r="H59" t="s">
        <v>475</v>
      </c>
      <c r="I59" t="s">
        <v>334</v>
      </c>
      <c r="J59" t="s">
        <v>476</v>
      </c>
      <c r="K59" t="s">
        <v>408</v>
      </c>
      <c r="L59">
        <v>60</v>
      </c>
    </row>
    <row r="60" spans="1:13" x14ac:dyDescent="0.3">
      <c r="A60">
        <v>45991</v>
      </c>
      <c r="B60" s="1">
        <v>0.49236111111111103</v>
      </c>
      <c r="C60" s="1">
        <v>0.49374999999999991</v>
      </c>
      <c r="D60" t="s">
        <v>147</v>
      </c>
      <c r="E60" t="s">
        <v>331</v>
      </c>
      <c r="F60" t="s">
        <v>337</v>
      </c>
      <c r="G60" t="s">
        <v>18</v>
      </c>
      <c r="I60" t="s">
        <v>334</v>
      </c>
      <c r="J60" t="s">
        <v>477</v>
      </c>
      <c r="K60" t="s">
        <v>478</v>
      </c>
      <c r="L60">
        <v>120</v>
      </c>
    </row>
    <row r="61" spans="1:13" x14ac:dyDescent="0.3">
      <c r="A61">
        <v>45998</v>
      </c>
      <c r="B61" s="1">
        <v>0.48124999999999996</v>
      </c>
      <c r="C61" s="1">
        <v>0.48194444444444451</v>
      </c>
      <c r="D61" t="s">
        <v>28</v>
      </c>
      <c r="E61" t="s">
        <v>331</v>
      </c>
      <c r="F61" t="s">
        <v>332</v>
      </c>
      <c r="G61" t="s">
        <v>18</v>
      </c>
      <c r="H61" t="s">
        <v>82</v>
      </c>
      <c r="I61" t="s">
        <v>334</v>
      </c>
      <c r="J61" t="s">
        <v>479</v>
      </c>
      <c r="K61" t="s">
        <v>480</v>
      </c>
      <c r="L61">
        <v>60</v>
      </c>
    </row>
    <row r="62" spans="1:13" x14ac:dyDescent="0.3">
      <c r="A62">
        <v>45994</v>
      </c>
      <c r="B62" s="1">
        <v>0.50138888888888888</v>
      </c>
      <c r="C62" s="1">
        <v>0.50347222222222232</v>
      </c>
      <c r="D62" t="s">
        <v>15</v>
      </c>
      <c r="E62" t="s">
        <v>331</v>
      </c>
      <c r="F62" t="s">
        <v>337</v>
      </c>
      <c r="G62" t="s">
        <v>18</v>
      </c>
      <c r="H62" t="s">
        <v>40</v>
      </c>
      <c r="I62" t="s">
        <v>257</v>
      </c>
      <c r="J62" t="s">
        <v>481</v>
      </c>
      <c r="K62" t="s">
        <v>482</v>
      </c>
      <c r="L62">
        <v>180</v>
      </c>
    </row>
    <row r="63" spans="1:13" x14ac:dyDescent="0.3">
      <c r="A63">
        <v>45994</v>
      </c>
      <c r="B63" s="1">
        <v>0.51111111111111107</v>
      </c>
      <c r="C63" s="1">
        <v>0.51458333333333339</v>
      </c>
      <c r="D63" t="s">
        <v>15</v>
      </c>
      <c r="E63" t="s">
        <v>331</v>
      </c>
      <c r="F63" t="s">
        <v>337</v>
      </c>
      <c r="G63" t="s">
        <v>18</v>
      </c>
      <c r="H63" t="s">
        <v>47</v>
      </c>
      <c r="I63" t="s">
        <v>334</v>
      </c>
      <c r="J63" t="s">
        <v>483</v>
      </c>
      <c r="K63" t="s">
        <v>483</v>
      </c>
      <c r="L63">
        <v>300</v>
      </c>
    </row>
    <row r="64" spans="1:13" x14ac:dyDescent="0.3">
      <c r="B64" s="1">
        <v>0.5361111111111112</v>
      </c>
      <c r="C64" s="1">
        <v>0.53750000000000009</v>
      </c>
      <c r="E64" t="s">
        <v>331</v>
      </c>
      <c r="F64" t="s">
        <v>337</v>
      </c>
      <c r="G64" t="s">
        <v>18</v>
      </c>
      <c r="H64" t="s">
        <v>82</v>
      </c>
      <c r="I64" t="s">
        <v>334</v>
      </c>
      <c r="J64" t="s">
        <v>484</v>
      </c>
      <c r="K64" t="s">
        <v>485</v>
      </c>
      <c r="L64">
        <v>120</v>
      </c>
    </row>
    <row r="65" spans="1:13" x14ac:dyDescent="0.3">
      <c r="A65">
        <v>45966</v>
      </c>
      <c r="B65" s="1">
        <v>0.52986111111111112</v>
      </c>
      <c r="C65" s="1">
        <v>0.53125</v>
      </c>
      <c r="D65" t="s">
        <v>15</v>
      </c>
      <c r="E65" t="s">
        <v>331</v>
      </c>
      <c r="F65" t="s">
        <v>332</v>
      </c>
      <c r="G65" t="s">
        <v>343</v>
      </c>
      <c r="H65" t="s">
        <v>462</v>
      </c>
      <c r="I65" t="s">
        <v>334</v>
      </c>
      <c r="J65" t="s">
        <v>486</v>
      </c>
      <c r="K65" t="s">
        <v>487</v>
      </c>
      <c r="L65">
        <v>120</v>
      </c>
    </row>
    <row r="66" spans="1:13" x14ac:dyDescent="0.3">
      <c r="A66">
        <v>45989</v>
      </c>
      <c r="B66" s="1">
        <v>0.6201388888888888</v>
      </c>
      <c r="C66" s="1">
        <v>0.62152777777777768</v>
      </c>
      <c r="D66" t="s">
        <v>115</v>
      </c>
      <c r="E66" t="s">
        <v>331</v>
      </c>
      <c r="F66" t="s">
        <v>332</v>
      </c>
      <c r="G66" t="s">
        <v>29</v>
      </c>
      <c r="H66" t="s">
        <v>488</v>
      </c>
      <c r="I66" t="s">
        <v>257</v>
      </c>
      <c r="J66" t="s">
        <v>489</v>
      </c>
      <c r="K66" t="s">
        <v>489</v>
      </c>
      <c r="L66">
        <v>120</v>
      </c>
    </row>
    <row r="67" spans="1:13" x14ac:dyDescent="0.3">
      <c r="A67">
        <v>45973</v>
      </c>
      <c r="B67" s="1">
        <v>0.45069444444444451</v>
      </c>
      <c r="C67" s="1">
        <v>0.45138888888888884</v>
      </c>
      <c r="D67" t="s">
        <v>292</v>
      </c>
      <c r="E67" t="s">
        <v>331</v>
      </c>
      <c r="F67" t="s">
        <v>337</v>
      </c>
      <c r="G67" t="s">
        <v>490</v>
      </c>
      <c r="H67" t="s">
        <v>491</v>
      </c>
      <c r="I67" t="s">
        <v>249</v>
      </c>
      <c r="J67" t="s">
        <v>492</v>
      </c>
      <c r="K67" t="s">
        <v>493</v>
      </c>
    </row>
    <row r="68" spans="1:13" x14ac:dyDescent="0.3">
      <c r="A68">
        <v>45966</v>
      </c>
      <c r="B68" s="1">
        <v>0.52777777777777768</v>
      </c>
      <c r="C68" s="1">
        <v>0.52847222222222223</v>
      </c>
      <c r="D68" t="s">
        <v>292</v>
      </c>
      <c r="E68" t="s">
        <v>331</v>
      </c>
      <c r="F68" t="s">
        <v>337</v>
      </c>
      <c r="G68" t="s">
        <v>134</v>
      </c>
      <c r="H68" t="s">
        <v>494</v>
      </c>
      <c r="I68" t="s">
        <v>249</v>
      </c>
      <c r="J68" t="s">
        <v>495</v>
      </c>
      <c r="K68" t="s">
        <v>496</v>
      </c>
    </row>
    <row r="69" spans="1:13" x14ac:dyDescent="0.3">
      <c r="A69" t="s">
        <v>497</v>
      </c>
      <c r="B69" s="1">
        <v>0.60694444444444451</v>
      </c>
      <c r="C69" s="1">
        <v>0.60694444444444451</v>
      </c>
      <c r="D69" t="s">
        <v>361</v>
      </c>
      <c r="E69" t="s">
        <v>331</v>
      </c>
      <c r="F69" t="s">
        <v>332</v>
      </c>
      <c r="G69" t="s">
        <v>134</v>
      </c>
      <c r="J69" t="s">
        <v>498</v>
      </c>
      <c r="K69" t="s">
        <v>246</v>
      </c>
    </row>
    <row r="70" spans="1:13" x14ac:dyDescent="0.3">
      <c r="A70">
        <v>46005</v>
      </c>
      <c r="B70" s="1">
        <v>0.51458333333333339</v>
      </c>
      <c r="C70" s="1">
        <v>0.51458333333333339</v>
      </c>
      <c r="D70" t="s">
        <v>499</v>
      </c>
      <c r="E70" t="s">
        <v>331</v>
      </c>
      <c r="F70" t="s">
        <v>337</v>
      </c>
      <c r="G70" t="s">
        <v>134</v>
      </c>
      <c r="I70" t="s">
        <v>334</v>
      </c>
      <c r="J70" t="s">
        <v>500</v>
      </c>
      <c r="K70" t="s">
        <v>501</v>
      </c>
    </row>
    <row r="71" spans="1:13" x14ac:dyDescent="0.3">
      <c r="A71">
        <v>46005</v>
      </c>
      <c r="B71" s="1">
        <v>0.51249999999999996</v>
      </c>
      <c r="C71" s="1">
        <v>0.51388888888888884</v>
      </c>
      <c r="D71" t="s">
        <v>499</v>
      </c>
      <c r="E71" t="s">
        <v>331</v>
      </c>
      <c r="F71" t="s">
        <v>337</v>
      </c>
      <c r="G71" t="s">
        <v>29</v>
      </c>
      <c r="J71" t="s">
        <v>502</v>
      </c>
      <c r="K71" t="s">
        <v>503</v>
      </c>
      <c r="L71">
        <v>120</v>
      </c>
    </row>
    <row r="72" spans="1:13" x14ac:dyDescent="0.3">
      <c r="A72">
        <v>46005</v>
      </c>
      <c r="B72" s="1">
        <v>0.50625000000000009</v>
      </c>
      <c r="C72" s="1"/>
      <c r="D72" t="s">
        <v>499</v>
      </c>
      <c r="E72" t="s">
        <v>331</v>
      </c>
      <c r="F72" t="s">
        <v>332</v>
      </c>
      <c r="G72" t="s">
        <v>18</v>
      </c>
      <c r="I72" t="s">
        <v>334</v>
      </c>
      <c r="J72" t="s">
        <v>504</v>
      </c>
      <c r="K72" t="s">
        <v>505</v>
      </c>
      <c r="L72">
        <v>85</v>
      </c>
    </row>
    <row r="73" spans="1:13" x14ac:dyDescent="0.3">
      <c r="A73">
        <v>46005</v>
      </c>
      <c r="B73" s="1">
        <v>0.50555555555555554</v>
      </c>
      <c r="C73" s="1">
        <v>0.50625000000000009</v>
      </c>
      <c r="D73" t="s">
        <v>499</v>
      </c>
      <c r="E73" t="s">
        <v>331</v>
      </c>
      <c r="F73" t="s">
        <v>332</v>
      </c>
      <c r="G73" t="s">
        <v>506</v>
      </c>
      <c r="I73" t="s">
        <v>257</v>
      </c>
      <c r="J73" t="s">
        <v>507</v>
      </c>
      <c r="K73" t="s">
        <v>26</v>
      </c>
      <c r="L73">
        <v>60</v>
      </c>
      <c r="M73" t="s">
        <v>508</v>
      </c>
    </row>
    <row r="74" spans="1:13" x14ac:dyDescent="0.3">
      <c r="A74">
        <v>46005</v>
      </c>
      <c r="B74" s="1">
        <v>0.49722222222222223</v>
      </c>
      <c r="C74" s="1">
        <v>0.5048611111111112</v>
      </c>
      <c r="D74" t="s">
        <v>499</v>
      </c>
      <c r="E74" t="s">
        <v>331</v>
      </c>
      <c r="F74" t="s">
        <v>337</v>
      </c>
      <c r="G74" t="s">
        <v>18</v>
      </c>
      <c r="I74" t="s">
        <v>334</v>
      </c>
      <c r="J74" t="s">
        <v>509</v>
      </c>
      <c r="K74" t="s">
        <v>510</v>
      </c>
      <c r="L74">
        <v>420</v>
      </c>
    </row>
    <row r="75" spans="1:13" x14ac:dyDescent="0.3">
      <c r="A75">
        <v>46005</v>
      </c>
      <c r="B75" s="1">
        <v>0.49236111111111103</v>
      </c>
      <c r="C75" s="1">
        <v>0.49305555555555558</v>
      </c>
      <c r="D75" t="s">
        <v>499</v>
      </c>
      <c r="E75" t="s">
        <v>331</v>
      </c>
      <c r="F75" t="s">
        <v>337</v>
      </c>
      <c r="G75" t="s">
        <v>29</v>
      </c>
      <c r="I75" t="s">
        <v>334</v>
      </c>
      <c r="J75" t="s">
        <v>511</v>
      </c>
      <c r="K75" t="s">
        <v>512</v>
      </c>
    </row>
    <row r="76" spans="1:13" x14ac:dyDescent="0.3">
      <c r="A76">
        <v>46005</v>
      </c>
      <c r="B76" s="1">
        <v>0.48611111111111116</v>
      </c>
      <c r="C76" s="1">
        <v>0.48888888888888893</v>
      </c>
      <c r="D76" t="s">
        <v>499</v>
      </c>
      <c r="E76" t="s">
        <v>331</v>
      </c>
      <c r="F76" t="s">
        <v>337</v>
      </c>
      <c r="G76" t="s">
        <v>18</v>
      </c>
      <c r="I76" t="s">
        <v>334</v>
      </c>
      <c r="J76" t="s">
        <v>513</v>
      </c>
      <c r="K76" t="s">
        <v>514</v>
      </c>
      <c r="L76">
        <v>240</v>
      </c>
    </row>
    <row r="77" spans="1:13" x14ac:dyDescent="0.3">
      <c r="A77">
        <v>46005</v>
      </c>
      <c r="B77" s="1">
        <v>0.47986111111111107</v>
      </c>
      <c r="C77" s="1">
        <v>0.48124999999999996</v>
      </c>
      <c r="D77" t="s">
        <v>499</v>
      </c>
      <c r="E77" t="s">
        <v>331</v>
      </c>
      <c r="F77" t="s">
        <v>337</v>
      </c>
      <c r="G77" t="s">
        <v>515</v>
      </c>
      <c r="I77" t="s">
        <v>257</v>
      </c>
      <c r="J77" t="s">
        <v>516</v>
      </c>
      <c r="K77" t="s">
        <v>517</v>
      </c>
      <c r="L77">
        <v>120</v>
      </c>
    </row>
    <row r="78" spans="1:13" x14ac:dyDescent="0.3">
      <c r="A78">
        <v>46005</v>
      </c>
      <c r="B78" s="1">
        <v>0.47847222222222219</v>
      </c>
      <c r="C78" s="1">
        <v>0.47916666666666674</v>
      </c>
      <c r="D78" t="s">
        <v>499</v>
      </c>
      <c r="E78" t="s">
        <v>331</v>
      </c>
      <c r="F78" t="s">
        <v>332</v>
      </c>
      <c r="G78" t="s">
        <v>506</v>
      </c>
      <c r="I78" t="s">
        <v>518</v>
      </c>
      <c r="J78" t="s">
        <v>519</v>
      </c>
      <c r="K78" t="s">
        <v>520</v>
      </c>
      <c r="L78">
        <v>60</v>
      </c>
    </row>
    <row r="79" spans="1:13" x14ac:dyDescent="0.3">
      <c r="A79">
        <v>46005</v>
      </c>
      <c r="B79" s="1">
        <v>0.4736111111111112</v>
      </c>
      <c r="C79" s="1">
        <v>0.4736111111111112</v>
      </c>
      <c r="D79" t="s">
        <v>499</v>
      </c>
      <c r="E79" t="s">
        <v>331</v>
      </c>
      <c r="F79" t="s">
        <v>332</v>
      </c>
      <c r="G79" t="s">
        <v>521</v>
      </c>
      <c r="I79" t="s">
        <v>257</v>
      </c>
      <c r="J79" t="s">
        <v>522</v>
      </c>
      <c r="K79" t="s">
        <v>26</v>
      </c>
      <c r="L79">
        <v>0</v>
      </c>
    </row>
    <row r="80" spans="1:13" x14ac:dyDescent="0.3">
      <c r="A80">
        <v>46008</v>
      </c>
      <c r="B80" s="1">
        <v>0.47430555555555554</v>
      </c>
      <c r="C80" s="1">
        <v>0.47500000000000009</v>
      </c>
      <c r="D80" t="s">
        <v>15</v>
      </c>
      <c r="E80" t="s">
        <v>331</v>
      </c>
      <c r="F80" t="s">
        <v>337</v>
      </c>
      <c r="G80" t="s">
        <v>18</v>
      </c>
      <c r="I80" t="s">
        <v>334</v>
      </c>
      <c r="J80" t="s">
        <v>523</v>
      </c>
      <c r="K80" t="s">
        <v>524</v>
      </c>
      <c r="L80">
        <v>60</v>
      </c>
    </row>
    <row r="81" spans="1:13" x14ac:dyDescent="0.3">
      <c r="A81">
        <v>46008</v>
      </c>
      <c r="B81" s="1">
        <v>0.47291666666666665</v>
      </c>
      <c r="C81" s="1">
        <v>0.4736111111111112</v>
      </c>
      <c r="D81" t="s">
        <v>15</v>
      </c>
      <c r="E81" t="s">
        <v>331</v>
      </c>
      <c r="F81" t="s">
        <v>337</v>
      </c>
      <c r="G81" t="s">
        <v>29</v>
      </c>
      <c r="H81" t="s">
        <v>525</v>
      </c>
      <c r="I81" t="s">
        <v>334</v>
      </c>
      <c r="J81" t="s">
        <v>526</v>
      </c>
      <c r="K81" t="s">
        <v>527</v>
      </c>
      <c r="L81">
        <v>60</v>
      </c>
    </row>
    <row r="82" spans="1:13" x14ac:dyDescent="0.3">
      <c r="A82">
        <v>46008</v>
      </c>
      <c r="B82" s="1">
        <v>0.47152777777777777</v>
      </c>
      <c r="C82" s="1">
        <v>0.47222222222222232</v>
      </c>
      <c r="D82" t="s">
        <v>15</v>
      </c>
      <c r="E82" t="s">
        <v>331</v>
      </c>
      <c r="F82" t="s">
        <v>337</v>
      </c>
      <c r="G82" t="s">
        <v>29</v>
      </c>
      <c r="H82" t="s">
        <v>525</v>
      </c>
      <c r="I82" t="s">
        <v>334</v>
      </c>
      <c r="J82" t="s">
        <v>528</v>
      </c>
      <c r="K82" t="s">
        <v>529</v>
      </c>
      <c r="L82">
        <v>50</v>
      </c>
    </row>
    <row r="83" spans="1:13" x14ac:dyDescent="0.3">
      <c r="A83">
        <v>46008</v>
      </c>
      <c r="B83" s="1">
        <v>0.47013888888888888</v>
      </c>
      <c r="C83" s="1">
        <v>0.47152777777777777</v>
      </c>
      <c r="D83" t="s">
        <v>15</v>
      </c>
      <c r="E83" t="s">
        <v>331</v>
      </c>
      <c r="F83" t="s">
        <v>337</v>
      </c>
      <c r="G83" t="s">
        <v>29</v>
      </c>
      <c r="H83" t="s">
        <v>525</v>
      </c>
      <c r="I83" t="s">
        <v>334</v>
      </c>
      <c r="J83" t="s">
        <v>530</v>
      </c>
      <c r="K83" t="s">
        <v>531</v>
      </c>
      <c r="L83">
        <v>120</v>
      </c>
    </row>
    <row r="84" spans="1:13" x14ac:dyDescent="0.3">
      <c r="A84">
        <v>46008</v>
      </c>
      <c r="B84" s="1">
        <v>0.47500000000000009</v>
      </c>
      <c r="C84" s="1">
        <v>0.47500000000000009</v>
      </c>
      <c r="D84" t="s">
        <v>15</v>
      </c>
      <c r="E84" t="s">
        <v>331</v>
      </c>
      <c r="F84" t="s">
        <v>332</v>
      </c>
      <c r="G84" t="s">
        <v>18</v>
      </c>
      <c r="H84" t="s">
        <v>532</v>
      </c>
      <c r="I84" t="s">
        <v>334</v>
      </c>
      <c r="J84" t="s">
        <v>533</v>
      </c>
      <c r="K84" t="s">
        <v>534</v>
      </c>
      <c r="L84">
        <v>0</v>
      </c>
    </row>
    <row r="85" spans="1:13" x14ac:dyDescent="0.3">
      <c r="A85">
        <v>46008</v>
      </c>
      <c r="B85" s="1">
        <v>0.47638888888888897</v>
      </c>
      <c r="C85" s="1">
        <v>0.47777777777777786</v>
      </c>
      <c r="D85" t="s">
        <v>15</v>
      </c>
      <c r="E85" t="s">
        <v>331</v>
      </c>
      <c r="F85" t="s">
        <v>337</v>
      </c>
      <c r="G85" t="s">
        <v>235</v>
      </c>
      <c r="H85" t="s">
        <v>525</v>
      </c>
      <c r="J85" t="s">
        <v>535</v>
      </c>
      <c r="K85" t="s">
        <v>536</v>
      </c>
      <c r="L85">
        <v>180</v>
      </c>
      <c r="M85" t="s">
        <v>537</v>
      </c>
    </row>
    <row r="86" spans="1:13" x14ac:dyDescent="0.3">
      <c r="A86">
        <v>46008</v>
      </c>
      <c r="B86" s="1">
        <v>0.48472222222222228</v>
      </c>
      <c r="C86" s="1">
        <v>0.48958333333333326</v>
      </c>
      <c r="D86" t="s">
        <v>15</v>
      </c>
      <c r="E86" t="s">
        <v>331</v>
      </c>
      <c r="F86" t="s">
        <v>332</v>
      </c>
      <c r="G86" t="s">
        <v>29</v>
      </c>
      <c r="H86" t="s">
        <v>494</v>
      </c>
      <c r="J86" t="s">
        <v>538</v>
      </c>
      <c r="K86" t="s">
        <v>539</v>
      </c>
      <c r="L86">
        <v>360</v>
      </c>
    </row>
    <row r="87" spans="1:13" x14ac:dyDescent="0.3">
      <c r="A87">
        <v>46008</v>
      </c>
      <c r="B87" s="1">
        <v>0.48402777777777772</v>
      </c>
      <c r="C87" s="1">
        <v>0.48472222222222228</v>
      </c>
      <c r="D87" t="s">
        <v>15</v>
      </c>
      <c r="E87" t="s">
        <v>331</v>
      </c>
      <c r="F87" t="s">
        <v>332</v>
      </c>
      <c r="G87" t="s">
        <v>540</v>
      </c>
      <c r="H87" t="s">
        <v>541</v>
      </c>
      <c r="J87" t="s">
        <v>542</v>
      </c>
      <c r="K87" t="s">
        <v>543</v>
      </c>
      <c r="L87">
        <v>60</v>
      </c>
      <c r="M87" t="s">
        <v>544</v>
      </c>
    </row>
    <row r="88" spans="1:13" x14ac:dyDescent="0.3">
      <c r="A88">
        <v>46008</v>
      </c>
      <c r="B88" s="1">
        <v>0.48472222222222228</v>
      </c>
      <c r="C88" s="1">
        <v>0.48611111111111116</v>
      </c>
      <c r="D88" t="s">
        <v>15</v>
      </c>
      <c r="E88" t="s">
        <v>331</v>
      </c>
      <c r="F88" t="s">
        <v>337</v>
      </c>
      <c r="G88" t="s">
        <v>29</v>
      </c>
      <c r="H88" t="s">
        <v>545</v>
      </c>
      <c r="I88" t="s">
        <v>257</v>
      </c>
      <c r="J88" t="s">
        <v>546</v>
      </c>
      <c r="K88" t="s">
        <v>547</v>
      </c>
      <c r="L88">
        <v>120</v>
      </c>
    </row>
    <row r="89" spans="1:13" x14ac:dyDescent="0.3">
      <c r="A89">
        <v>46008</v>
      </c>
      <c r="B89" s="1">
        <v>0.52499999999999991</v>
      </c>
      <c r="C89" s="1">
        <v>0.52916666666666656</v>
      </c>
      <c r="D89" t="s">
        <v>15</v>
      </c>
      <c r="E89" t="s">
        <v>331</v>
      </c>
      <c r="F89" t="s">
        <v>337</v>
      </c>
      <c r="G89" t="s">
        <v>29</v>
      </c>
      <c r="H89" t="s">
        <v>548</v>
      </c>
      <c r="I89" t="s">
        <v>334</v>
      </c>
      <c r="J89" t="s">
        <v>549</v>
      </c>
      <c r="K89" t="s">
        <v>550</v>
      </c>
      <c r="L89">
        <v>360</v>
      </c>
      <c r="M89" t="s">
        <v>551</v>
      </c>
    </row>
    <row r="90" spans="1:13" x14ac:dyDescent="0.3">
      <c r="A90">
        <v>46008</v>
      </c>
      <c r="B90" s="1">
        <v>0.52361111111111103</v>
      </c>
      <c r="C90" s="1">
        <v>0.52569444444444446</v>
      </c>
      <c r="D90" t="s">
        <v>15</v>
      </c>
      <c r="E90" t="s">
        <v>331</v>
      </c>
      <c r="F90" t="s">
        <v>337</v>
      </c>
      <c r="G90" t="s">
        <v>134</v>
      </c>
      <c r="H90" t="s">
        <v>548</v>
      </c>
      <c r="J90" t="s">
        <v>552</v>
      </c>
      <c r="K90" t="s">
        <v>553</v>
      </c>
      <c r="L90">
        <v>180</v>
      </c>
    </row>
    <row r="91" spans="1:13" x14ac:dyDescent="0.3">
      <c r="A91">
        <v>46008</v>
      </c>
      <c r="B91" s="1">
        <v>0.52083333333333326</v>
      </c>
      <c r="C91" s="1">
        <v>0.52152777777777781</v>
      </c>
      <c r="D91" t="s">
        <v>15</v>
      </c>
      <c r="E91" t="s">
        <v>331</v>
      </c>
      <c r="F91" t="s">
        <v>332</v>
      </c>
      <c r="G91" t="s">
        <v>134</v>
      </c>
      <c r="H91" t="s">
        <v>554</v>
      </c>
      <c r="I91" t="s">
        <v>249</v>
      </c>
      <c r="J91" t="s">
        <v>555</v>
      </c>
      <c r="K91" t="s">
        <v>556</v>
      </c>
      <c r="L91">
        <v>60</v>
      </c>
    </row>
    <row r="92" spans="1:13" x14ac:dyDescent="0.3">
      <c r="A92">
        <v>46008</v>
      </c>
      <c r="B92" s="1">
        <v>0.51944444444444438</v>
      </c>
      <c r="C92" s="1">
        <v>0.52222222222222214</v>
      </c>
      <c r="D92" t="s">
        <v>15</v>
      </c>
      <c r="E92" t="s">
        <v>331</v>
      </c>
      <c r="F92" t="s">
        <v>337</v>
      </c>
      <c r="G92" t="s">
        <v>18</v>
      </c>
      <c r="H92" t="s">
        <v>165</v>
      </c>
      <c r="I92" t="s">
        <v>334</v>
      </c>
      <c r="J92" t="s">
        <v>557</v>
      </c>
      <c r="K92" t="s">
        <v>558</v>
      </c>
      <c r="L92">
        <v>240</v>
      </c>
    </row>
    <row r="93" spans="1:13" x14ac:dyDescent="0.3">
      <c r="A93">
        <v>46008</v>
      </c>
      <c r="B93" s="1">
        <v>0.51805555555555549</v>
      </c>
      <c r="C93" s="1">
        <v>0.52013888888888893</v>
      </c>
      <c r="D93" t="s">
        <v>15</v>
      </c>
      <c r="E93" t="s">
        <v>331</v>
      </c>
      <c r="G93" t="s">
        <v>18</v>
      </c>
      <c r="H93" t="s">
        <v>559</v>
      </c>
      <c r="I93" t="s">
        <v>334</v>
      </c>
      <c r="J93" t="s">
        <v>560</v>
      </c>
      <c r="K93" t="s">
        <v>561</v>
      </c>
      <c r="L93">
        <v>180</v>
      </c>
    </row>
    <row r="94" spans="1:13" x14ac:dyDescent="0.3">
      <c r="A94">
        <v>46008</v>
      </c>
      <c r="B94" s="1">
        <v>0.51736111111111116</v>
      </c>
      <c r="C94" s="1">
        <v>0.52013888888888893</v>
      </c>
      <c r="D94" t="s">
        <v>15</v>
      </c>
      <c r="E94" t="s">
        <v>331</v>
      </c>
      <c r="F94" t="s">
        <v>332</v>
      </c>
      <c r="G94" t="s">
        <v>29</v>
      </c>
      <c r="H94" t="s">
        <v>562</v>
      </c>
      <c r="I94" t="s">
        <v>334</v>
      </c>
      <c r="J94" t="s">
        <v>563</v>
      </c>
      <c r="K94" t="s">
        <v>564</v>
      </c>
      <c r="L94">
        <v>240</v>
      </c>
    </row>
    <row r="95" spans="1:13" x14ac:dyDescent="0.3">
      <c r="A95">
        <v>46008</v>
      </c>
      <c r="B95" s="1">
        <v>0.47430555555555554</v>
      </c>
      <c r="C95" s="1">
        <v>0.47777777777777786</v>
      </c>
      <c r="D95" t="s">
        <v>15</v>
      </c>
      <c r="E95" t="s">
        <v>331</v>
      </c>
      <c r="F95" t="s">
        <v>332</v>
      </c>
      <c r="G95" t="s">
        <v>134</v>
      </c>
      <c r="H95" t="s">
        <v>565</v>
      </c>
      <c r="I95" t="s">
        <v>334</v>
      </c>
      <c r="J95" t="s">
        <v>566</v>
      </c>
      <c r="K95" t="s">
        <v>567</v>
      </c>
      <c r="L95">
        <v>300</v>
      </c>
    </row>
    <row r="96" spans="1:13" x14ac:dyDescent="0.3">
      <c r="A96">
        <v>46008</v>
      </c>
      <c r="B96" s="1">
        <v>0.51388888888888884</v>
      </c>
      <c r="C96" s="1">
        <v>0.51736111111111116</v>
      </c>
      <c r="D96" t="s">
        <v>15</v>
      </c>
      <c r="E96" t="s">
        <v>331</v>
      </c>
      <c r="F96" t="s">
        <v>337</v>
      </c>
      <c r="G96" t="s">
        <v>134</v>
      </c>
      <c r="H96" t="s">
        <v>568</v>
      </c>
      <c r="I96" t="s">
        <v>334</v>
      </c>
      <c r="J96" t="s">
        <v>569</v>
      </c>
      <c r="K96" t="s">
        <v>570</v>
      </c>
      <c r="L96">
        <v>300</v>
      </c>
    </row>
    <row r="97" spans="1:13" x14ac:dyDescent="0.3">
      <c r="A97">
        <v>46008</v>
      </c>
      <c r="B97" s="1">
        <v>0.52222222222222214</v>
      </c>
      <c r="C97" s="1">
        <v>0.52222222222222214</v>
      </c>
      <c r="D97" t="s">
        <v>15</v>
      </c>
      <c r="E97" t="s">
        <v>331</v>
      </c>
      <c r="F97" t="s">
        <v>337</v>
      </c>
      <c r="G97" t="s">
        <v>18</v>
      </c>
      <c r="H97" t="s">
        <v>559</v>
      </c>
      <c r="I97" t="s">
        <v>334</v>
      </c>
      <c r="J97" t="s">
        <v>571</v>
      </c>
      <c r="K97" t="s">
        <v>26</v>
      </c>
      <c r="L97">
        <v>0</v>
      </c>
    </row>
    <row r="98" spans="1:13" x14ac:dyDescent="0.3">
      <c r="A98">
        <v>46008</v>
      </c>
      <c r="B98" s="1">
        <v>0.5083333333333333</v>
      </c>
      <c r="C98" s="1">
        <v>0.50972222222222219</v>
      </c>
      <c r="D98" t="s">
        <v>15</v>
      </c>
      <c r="E98" t="s">
        <v>331</v>
      </c>
      <c r="F98" t="s">
        <v>337</v>
      </c>
      <c r="G98" t="s">
        <v>29</v>
      </c>
      <c r="H98" t="s">
        <v>572</v>
      </c>
      <c r="I98" t="s">
        <v>573</v>
      </c>
      <c r="J98" t="s">
        <v>574</v>
      </c>
      <c r="K98" t="s">
        <v>575</v>
      </c>
      <c r="L98">
        <v>90</v>
      </c>
    </row>
    <row r="99" spans="1:13" x14ac:dyDescent="0.3">
      <c r="A99">
        <v>46002</v>
      </c>
      <c r="B99" s="1">
        <v>0.52499999999999991</v>
      </c>
      <c r="C99" s="1">
        <v>0.52569444444444446</v>
      </c>
      <c r="D99" t="s">
        <v>15</v>
      </c>
      <c r="E99" t="s">
        <v>331</v>
      </c>
      <c r="F99" t="s">
        <v>337</v>
      </c>
      <c r="G99" t="s">
        <v>134</v>
      </c>
      <c r="H99" t="s">
        <v>576</v>
      </c>
      <c r="I99" t="s">
        <v>334</v>
      </c>
      <c r="J99" t="s">
        <v>577</v>
      </c>
      <c r="K99" t="s">
        <v>578</v>
      </c>
      <c r="L99">
        <v>60</v>
      </c>
    </row>
    <row r="100" spans="1:13" x14ac:dyDescent="0.3">
      <c r="A100">
        <v>46029</v>
      </c>
      <c r="B100" s="1">
        <v>0.50347222222222232</v>
      </c>
      <c r="C100" s="1">
        <v>0.50625000000000009</v>
      </c>
      <c r="D100" t="s">
        <v>15</v>
      </c>
      <c r="E100" t="s">
        <v>331</v>
      </c>
      <c r="F100" t="s">
        <v>332</v>
      </c>
      <c r="G100" t="s">
        <v>134</v>
      </c>
      <c r="H100" t="s">
        <v>548</v>
      </c>
      <c r="I100" t="s">
        <v>220</v>
      </c>
      <c r="J100" t="s">
        <v>579</v>
      </c>
      <c r="K100" t="s">
        <v>580</v>
      </c>
      <c r="L100">
        <v>240</v>
      </c>
    </row>
    <row r="101" spans="1:13" x14ac:dyDescent="0.3">
      <c r="A101">
        <v>46029</v>
      </c>
      <c r="B101" s="1">
        <v>0.50069444444444455</v>
      </c>
      <c r="C101" s="1">
        <v>0.50069444444444455</v>
      </c>
      <c r="D101" t="s">
        <v>15</v>
      </c>
      <c r="E101" t="s">
        <v>331</v>
      </c>
      <c r="F101" t="s">
        <v>337</v>
      </c>
      <c r="G101" t="s">
        <v>18</v>
      </c>
      <c r="H101" t="s">
        <v>300</v>
      </c>
      <c r="I101" t="s">
        <v>334</v>
      </c>
      <c r="J101" t="s">
        <v>581</v>
      </c>
      <c r="K101" t="s">
        <v>582</v>
      </c>
      <c r="L101">
        <v>0</v>
      </c>
    </row>
    <row r="102" spans="1:13" x14ac:dyDescent="0.3">
      <c r="A102" t="s">
        <v>583</v>
      </c>
      <c r="B102" s="1">
        <v>0.5</v>
      </c>
      <c r="C102" s="1">
        <v>0.50069444444444455</v>
      </c>
      <c r="D102" t="s">
        <v>15</v>
      </c>
      <c r="E102" t="s">
        <v>331</v>
      </c>
      <c r="F102" t="s">
        <v>337</v>
      </c>
      <c r="G102" t="s">
        <v>18</v>
      </c>
      <c r="H102" t="s">
        <v>559</v>
      </c>
      <c r="I102" t="s">
        <v>334</v>
      </c>
      <c r="J102" t="s">
        <v>584</v>
      </c>
      <c r="K102" t="s">
        <v>585</v>
      </c>
      <c r="L102">
        <v>60</v>
      </c>
    </row>
    <row r="103" spans="1:13" x14ac:dyDescent="0.3">
      <c r="A103">
        <v>46029</v>
      </c>
      <c r="B103" s="1">
        <v>0.49652777777777768</v>
      </c>
      <c r="C103" s="1">
        <v>0.49930555555555545</v>
      </c>
      <c r="D103" t="s">
        <v>15</v>
      </c>
      <c r="E103" t="s">
        <v>331</v>
      </c>
      <c r="F103" t="s">
        <v>337</v>
      </c>
      <c r="G103" t="s">
        <v>134</v>
      </c>
      <c r="H103" t="s">
        <v>586</v>
      </c>
      <c r="I103" t="s">
        <v>334</v>
      </c>
      <c r="J103" t="s">
        <v>587</v>
      </c>
      <c r="K103" t="s">
        <v>588</v>
      </c>
      <c r="L103">
        <v>240</v>
      </c>
    </row>
    <row r="104" spans="1:13" x14ac:dyDescent="0.3">
      <c r="A104">
        <v>46029</v>
      </c>
      <c r="B104" s="1">
        <v>0.45833333333333326</v>
      </c>
      <c r="C104" s="1">
        <v>0.4604166666666667</v>
      </c>
      <c r="D104" t="s">
        <v>15</v>
      </c>
      <c r="E104" t="s">
        <v>331</v>
      </c>
      <c r="F104" t="s">
        <v>332</v>
      </c>
      <c r="G104" t="s">
        <v>589</v>
      </c>
      <c r="H104" t="s">
        <v>590</v>
      </c>
      <c r="I104" t="s">
        <v>257</v>
      </c>
      <c r="J104" t="s">
        <v>591</v>
      </c>
      <c r="K104" t="s">
        <v>592</v>
      </c>
      <c r="L104">
        <v>190</v>
      </c>
    </row>
    <row r="105" spans="1:13" x14ac:dyDescent="0.3">
      <c r="A105">
        <v>46029</v>
      </c>
      <c r="B105" s="1">
        <v>0.47222222222222232</v>
      </c>
      <c r="C105" s="1">
        <v>0.4736111111111112</v>
      </c>
      <c r="D105" t="s">
        <v>15</v>
      </c>
      <c r="E105" t="s">
        <v>331</v>
      </c>
      <c r="F105" t="s">
        <v>337</v>
      </c>
      <c r="G105" t="s">
        <v>18</v>
      </c>
      <c r="H105" t="s">
        <v>300</v>
      </c>
      <c r="I105" t="s">
        <v>334</v>
      </c>
      <c r="J105" t="s">
        <v>593</v>
      </c>
      <c r="K105" t="s">
        <v>594</v>
      </c>
      <c r="L105">
        <v>120</v>
      </c>
    </row>
    <row r="106" spans="1:13" x14ac:dyDescent="0.3">
      <c r="A106">
        <v>46029</v>
      </c>
      <c r="B106" s="1">
        <v>0.48819444444444438</v>
      </c>
      <c r="C106" s="1">
        <v>0.48958333333333326</v>
      </c>
      <c r="D106" t="s">
        <v>15</v>
      </c>
      <c r="E106" t="s">
        <v>331</v>
      </c>
      <c r="F106" t="s">
        <v>332</v>
      </c>
      <c r="G106" t="s">
        <v>506</v>
      </c>
      <c r="H106" t="s">
        <v>595</v>
      </c>
      <c r="I106" t="s">
        <v>257</v>
      </c>
      <c r="J106" t="s">
        <v>596</v>
      </c>
      <c r="K106" t="s">
        <v>597</v>
      </c>
      <c r="L106">
        <v>120</v>
      </c>
    </row>
    <row r="107" spans="1:13" x14ac:dyDescent="0.3">
      <c r="A107">
        <v>46038</v>
      </c>
      <c r="B107" s="1">
        <v>0.63402777777777786</v>
      </c>
      <c r="C107" s="1">
        <v>0.63472222222222219</v>
      </c>
      <c r="D107" t="s">
        <v>115</v>
      </c>
      <c r="E107" t="s">
        <v>331</v>
      </c>
      <c r="F107" t="s">
        <v>332</v>
      </c>
      <c r="G107" t="s">
        <v>29</v>
      </c>
      <c r="H107" t="s">
        <v>598</v>
      </c>
      <c r="I107" t="s">
        <v>257</v>
      </c>
      <c r="J107" t="s">
        <v>599</v>
      </c>
      <c r="K107" t="s">
        <v>600</v>
      </c>
      <c r="L107">
        <v>60</v>
      </c>
    </row>
    <row r="108" spans="1:13" x14ac:dyDescent="0.3">
      <c r="A108">
        <v>46033</v>
      </c>
      <c r="B108" s="1">
        <v>0.51041666666666674</v>
      </c>
      <c r="C108" s="1">
        <v>0.51180555555555562</v>
      </c>
      <c r="D108" t="s">
        <v>15</v>
      </c>
      <c r="E108" t="s">
        <v>331</v>
      </c>
      <c r="F108" t="s">
        <v>337</v>
      </c>
      <c r="J108" t="s">
        <v>601</v>
      </c>
      <c r="K108" t="s">
        <v>602</v>
      </c>
      <c r="L108">
        <v>180</v>
      </c>
    </row>
    <row r="109" spans="1:13" x14ac:dyDescent="0.3">
      <c r="A109">
        <v>46033</v>
      </c>
      <c r="B109" s="1">
        <v>0.50694444444444442</v>
      </c>
      <c r="C109" s="1">
        <v>0.51041666666666674</v>
      </c>
      <c r="D109" t="s">
        <v>15</v>
      </c>
      <c r="E109" t="s">
        <v>331</v>
      </c>
      <c r="F109" t="s">
        <v>337</v>
      </c>
      <c r="G109" t="s">
        <v>18</v>
      </c>
      <c r="H109" t="s">
        <v>113</v>
      </c>
      <c r="I109" t="s">
        <v>220</v>
      </c>
      <c r="J109" t="s">
        <v>603</v>
      </c>
      <c r="K109" t="s">
        <v>604</v>
      </c>
      <c r="L109">
        <v>300</v>
      </c>
    </row>
    <row r="110" spans="1:13" x14ac:dyDescent="0.3">
      <c r="A110">
        <v>46033</v>
      </c>
      <c r="B110" s="1">
        <v>0.50347222222222232</v>
      </c>
      <c r="C110" s="1">
        <v>0.5048611111111112</v>
      </c>
      <c r="D110" t="s">
        <v>15</v>
      </c>
      <c r="E110" t="s">
        <v>331</v>
      </c>
      <c r="F110" t="s">
        <v>337</v>
      </c>
      <c r="G110" t="s">
        <v>506</v>
      </c>
      <c r="H110" t="s">
        <v>605</v>
      </c>
      <c r="I110" t="s">
        <v>362</v>
      </c>
      <c r="J110" t="s">
        <v>606</v>
      </c>
      <c r="K110" t="s">
        <v>607</v>
      </c>
      <c r="L110">
        <v>120</v>
      </c>
    </row>
    <row r="111" spans="1:13" x14ac:dyDescent="0.3">
      <c r="A111">
        <v>46033</v>
      </c>
      <c r="B111" s="1">
        <v>0.4604166666666667</v>
      </c>
      <c r="C111" s="1"/>
      <c r="D111" t="s">
        <v>15</v>
      </c>
      <c r="E111" t="s">
        <v>331</v>
      </c>
      <c r="F111" t="s">
        <v>337</v>
      </c>
      <c r="G111" t="s">
        <v>18</v>
      </c>
      <c r="H111" t="s">
        <v>608</v>
      </c>
      <c r="I111" t="s">
        <v>249</v>
      </c>
      <c r="J111" t="s">
        <v>609</v>
      </c>
      <c r="K111" t="s">
        <v>610</v>
      </c>
      <c r="L111">
        <v>210</v>
      </c>
      <c r="M111" t="s">
        <v>611</v>
      </c>
    </row>
    <row r="112" spans="1:13" x14ac:dyDescent="0.3">
      <c r="A112">
        <v>46030</v>
      </c>
      <c r="B112" s="1">
        <v>0.50347222222222232</v>
      </c>
      <c r="C112" s="1">
        <v>0.5048611111111112</v>
      </c>
      <c r="D112" t="s">
        <v>28</v>
      </c>
      <c r="E112" t="s">
        <v>331</v>
      </c>
      <c r="F112" t="s">
        <v>337</v>
      </c>
      <c r="G112" t="s">
        <v>134</v>
      </c>
      <c r="H112" t="s">
        <v>612</v>
      </c>
      <c r="I112" t="s">
        <v>334</v>
      </c>
      <c r="J112" t="s">
        <v>613</v>
      </c>
      <c r="K112" t="s">
        <v>614</v>
      </c>
      <c r="L112">
        <v>120</v>
      </c>
    </row>
    <row r="113" spans="1:13" x14ac:dyDescent="0.3">
      <c r="A113">
        <v>46033</v>
      </c>
      <c r="B113" s="1">
        <v>0.50694444444444442</v>
      </c>
      <c r="C113" s="1">
        <v>0.51180555555555562</v>
      </c>
      <c r="D113" t="s">
        <v>15</v>
      </c>
      <c r="E113" t="s">
        <v>331</v>
      </c>
      <c r="F113" t="s">
        <v>332</v>
      </c>
      <c r="G113" t="s">
        <v>615</v>
      </c>
      <c r="H113" t="s">
        <v>616</v>
      </c>
      <c r="I113" t="s">
        <v>334</v>
      </c>
      <c r="J113" t="s">
        <v>617</v>
      </c>
      <c r="K113" t="s">
        <v>618</v>
      </c>
      <c r="L113">
        <v>420</v>
      </c>
    </row>
    <row r="114" spans="1:13" x14ac:dyDescent="0.3">
      <c r="A114">
        <v>46033</v>
      </c>
      <c r="B114" s="1">
        <v>0.50138888888888888</v>
      </c>
      <c r="C114" s="1">
        <v>0.50277777777777777</v>
      </c>
      <c r="D114" t="s">
        <v>15</v>
      </c>
      <c r="E114" t="s">
        <v>331</v>
      </c>
      <c r="F114" t="s">
        <v>337</v>
      </c>
      <c r="G114" t="s">
        <v>134</v>
      </c>
      <c r="H114" t="s">
        <v>548</v>
      </c>
      <c r="I114" t="s">
        <v>334</v>
      </c>
      <c r="J114" t="s">
        <v>619</v>
      </c>
      <c r="K114" t="s">
        <v>620</v>
      </c>
      <c r="L114">
        <v>120</v>
      </c>
    </row>
    <row r="115" spans="1:13" x14ac:dyDescent="0.3">
      <c r="A115">
        <v>46033</v>
      </c>
      <c r="B115" s="1">
        <v>0.54166666666666674</v>
      </c>
      <c r="C115" s="1">
        <v>0.54236111111111107</v>
      </c>
      <c r="D115" t="s">
        <v>15</v>
      </c>
      <c r="E115" t="s">
        <v>331</v>
      </c>
      <c r="F115" t="s">
        <v>337</v>
      </c>
      <c r="G115" t="s">
        <v>29</v>
      </c>
      <c r="H115" t="s">
        <v>621</v>
      </c>
      <c r="I115" t="s">
        <v>220</v>
      </c>
      <c r="J115" t="s">
        <v>622</v>
      </c>
      <c r="K115" t="s">
        <v>623</v>
      </c>
      <c r="L115">
        <v>60</v>
      </c>
    </row>
    <row r="116" spans="1:13" x14ac:dyDescent="0.3">
      <c r="A116">
        <v>46033</v>
      </c>
      <c r="B116" s="1">
        <v>0.50069444444444455</v>
      </c>
      <c r="C116" s="1">
        <v>0.50208333333333344</v>
      </c>
      <c r="D116" t="s">
        <v>15</v>
      </c>
      <c r="E116" t="s">
        <v>331</v>
      </c>
      <c r="F116" t="s">
        <v>624</v>
      </c>
      <c r="G116" t="s">
        <v>29</v>
      </c>
      <c r="H116" t="s">
        <v>625</v>
      </c>
      <c r="I116" t="s">
        <v>220</v>
      </c>
      <c r="J116" t="s">
        <v>626</v>
      </c>
      <c r="K116" t="s">
        <v>627</v>
      </c>
      <c r="L116">
        <v>120</v>
      </c>
      <c r="M116" t="s">
        <v>628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7469-C31E-4F1B-B197-545C92BAA52C}">
  <dimension ref="A1:O111"/>
  <sheetViews>
    <sheetView topLeftCell="L87" workbookViewId="0">
      <selection activeCell="O2" sqref="O2:O111"/>
    </sheetView>
  </sheetViews>
  <sheetFormatPr defaultRowHeight="14.4" x14ac:dyDescent="0.3"/>
  <cols>
    <col min="1" max="1" width="10.33203125" style="2" bestFit="1" customWidth="1"/>
    <col min="2" max="3" width="12" bestFit="1" customWidth="1"/>
    <col min="4" max="4" width="17.77734375" bestFit="1" customWidth="1"/>
    <col min="5" max="5" width="16.33203125" bestFit="1" customWidth="1"/>
    <col min="6" max="6" width="18.77734375" bestFit="1" customWidth="1"/>
    <col min="7" max="7" width="41.6640625" bestFit="1" customWidth="1"/>
    <col min="8" max="8" width="58.5546875" bestFit="1" customWidth="1"/>
    <col min="9" max="9" width="45.109375" bestFit="1" customWidth="1"/>
    <col min="10" max="11" width="80.88671875" bestFit="1" customWidth="1"/>
    <col min="12" max="12" width="24.109375" bestFit="1" customWidth="1"/>
    <col min="13" max="13" width="80.88671875" bestFit="1" customWidth="1"/>
    <col min="14" max="14" width="19.33203125" bestFit="1" customWidth="1"/>
    <col min="15" max="15" width="80.88671875" bestFit="1" customWidth="1"/>
  </cols>
  <sheetData>
    <row r="1" spans="1:15" x14ac:dyDescent="0.3">
      <c r="A1" s="2" t="s">
        <v>0</v>
      </c>
      <c r="B1" t="s">
        <v>1</v>
      </c>
      <c r="C1" t="s">
        <v>2</v>
      </c>
      <c r="D1" t="s">
        <v>3</v>
      </c>
      <c r="E1" t="s">
        <v>4</v>
      </c>
      <c r="F1" t="s">
        <v>5</v>
      </c>
      <c r="G1" t="s">
        <v>6</v>
      </c>
      <c r="H1" t="s">
        <v>7</v>
      </c>
      <c r="I1" t="s">
        <v>8</v>
      </c>
      <c r="J1" t="s">
        <v>9</v>
      </c>
      <c r="K1" t="s">
        <v>10</v>
      </c>
      <c r="L1" t="s">
        <v>11</v>
      </c>
      <c r="M1" t="s">
        <v>12</v>
      </c>
      <c r="N1" t="s">
        <v>13</v>
      </c>
      <c r="O1" t="s">
        <v>14</v>
      </c>
    </row>
    <row r="2" spans="1:15" x14ac:dyDescent="0.3">
      <c r="A2" s="2">
        <v>45973</v>
      </c>
      <c r="B2">
        <v>0.48402777777777772</v>
      </c>
      <c r="C2">
        <v>0.48541666666666661</v>
      </c>
      <c r="D2" t="s">
        <v>15</v>
      </c>
      <c r="E2" t="s">
        <v>16</v>
      </c>
      <c r="F2" t="s">
        <v>17</v>
      </c>
      <c r="G2" t="s">
        <v>18</v>
      </c>
      <c r="H2" t="s">
        <v>19</v>
      </c>
      <c r="I2" t="s">
        <v>20</v>
      </c>
      <c r="J2" t="s">
        <v>21</v>
      </c>
      <c r="K2" t="s">
        <v>22</v>
      </c>
      <c r="L2">
        <v>120</v>
      </c>
      <c r="M2" t="s">
        <v>23</v>
      </c>
      <c r="N2" t="s">
        <v>23</v>
      </c>
    </row>
    <row r="3" spans="1:15" x14ac:dyDescent="0.3">
      <c r="A3" s="2">
        <v>45973</v>
      </c>
      <c r="B3">
        <v>0.44166666666666665</v>
      </c>
      <c r="C3">
        <v>0.4423611111111112</v>
      </c>
      <c r="D3" t="s">
        <v>15</v>
      </c>
      <c r="E3" t="s">
        <v>16</v>
      </c>
      <c r="F3" t="s">
        <v>17</v>
      </c>
      <c r="G3" t="s">
        <v>24</v>
      </c>
      <c r="I3" t="s">
        <v>20</v>
      </c>
      <c r="J3" t="s">
        <v>25</v>
      </c>
      <c r="K3" t="s">
        <v>26</v>
      </c>
      <c r="L3">
        <v>60</v>
      </c>
      <c r="M3" t="s">
        <v>23</v>
      </c>
      <c r="N3" t="s">
        <v>23</v>
      </c>
      <c r="O3" t="s">
        <v>27</v>
      </c>
    </row>
    <row r="4" spans="1:15" x14ac:dyDescent="0.3">
      <c r="A4" s="2">
        <v>45981</v>
      </c>
      <c r="B4">
        <v>0.45972222222222214</v>
      </c>
      <c r="C4">
        <v>0.4604166666666667</v>
      </c>
      <c r="D4" t="s">
        <v>28</v>
      </c>
      <c r="E4" t="s">
        <v>16</v>
      </c>
      <c r="F4" t="s">
        <v>17</v>
      </c>
      <c r="G4" t="s">
        <v>29</v>
      </c>
      <c r="H4" t="s">
        <v>30</v>
      </c>
      <c r="I4" t="s">
        <v>31</v>
      </c>
      <c r="J4" t="s">
        <v>32</v>
      </c>
      <c r="K4" t="s">
        <v>33</v>
      </c>
      <c r="L4">
        <v>60</v>
      </c>
      <c r="M4" t="s">
        <v>34</v>
      </c>
      <c r="N4" t="s">
        <v>23</v>
      </c>
    </row>
    <row r="5" spans="1:15" x14ac:dyDescent="0.3">
      <c r="A5" s="2">
        <v>45981</v>
      </c>
      <c r="B5">
        <v>0.44930555555555562</v>
      </c>
      <c r="C5">
        <v>0.44999999999999996</v>
      </c>
      <c r="D5" t="s">
        <v>28</v>
      </c>
      <c r="E5" t="s">
        <v>16</v>
      </c>
      <c r="F5" t="s">
        <v>35</v>
      </c>
      <c r="G5" t="s">
        <v>29</v>
      </c>
      <c r="H5" t="s">
        <v>36</v>
      </c>
      <c r="I5" t="s">
        <v>31</v>
      </c>
      <c r="J5" t="s">
        <v>37</v>
      </c>
      <c r="K5" t="s">
        <v>26</v>
      </c>
      <c r="L5">
        <v>60</v>
      </c>
      <c r="M5" t="s">
        <v>38</v>
      </c>
      <c r="N5" t="s">
        <v>23</v>
      </c>
      <c r="O5" t="s">
        <v>39</v>
      </c>
    </row>
    <row r="6" spans="1:15" x14ac:dyDescent="0.3">
      <c r="A6" s="2">
        <v>45981</v>
      </c>
      <c r="B6">
        <v>0.44861111111111107</v>
      </c>
      <c r="C6">
        <v>0.44930555555555562</v>
      </c>
      <c r="D6" t="s">
        <v>28</v>
      </c>
      <c r="E6" t="s">
        <v>16</v>
      </c>
      <c r="F6" t="s">
        <v>35</v>
      </c>
      <c r="G6" t="s">
        <v>29</v>
      </c>
      <c r="H6" t="s">
        <v>40</v>
      </c>
      <c r="I6" t="s">
        <v>31</v>
      </c>
      <c r="J6" t="s">
        <v>37</v>
      </c>
      <c r="K6" t="s">
        <v>26</v>
      </c>
      <c r="L6">
        <v>60</v>
      </c>
      <c r="M6" t="s">
        <v>41</v>
      </c>
      <c r="N6" t="s">
        <v>23</v>
      </c>
      <c r="O6" t="s">
        <v>42</v>
      </c>
    </row>
    <row r="7" spans="1:15" x14ac:dyDescent="0.3">
      <c r="A7" s="2">
        <v>45981</v>
      </c>
      <c r="B7">
        <v>0.46319444444444446</v>
      </c>
      <c r="C7">
        <v>0.47013888888888888</v>
      </c>
      <c r="D7" t="s">
        <v>28</v>
      </c>
      <c r="E7" t="s">
        <v>16</v>
      </c>
      <c r="F7" t="s">
        <v>35</v>
      </c>
      <c r="G7" t="s">
        <v>29</v>
      </c>
      <c r="H7" t="s">
        <v>43</v>
      </c>
      <c r="I7" t="s">
        <v>31</v>
      </c>
      <c r="J7" t="s">
        <v>44</v>
      </c>
      <c r="K7" t="s">
        <v>45</v>
      </c>
      <c r="L7">
        <v>600</v>
      </c>
      <c r="M7" t="s">
        <v>46</v>
      </c>
      <c r="N7" t="s">
        <v>23</v>
      </c>
    </row>
    <row r="8" spans="1:15" x14ac:dyDescent="0.3">
      <c r="A8" s="2">
        <v>45966</v>
      </c>
      <c r="B8">
        <v>0.47222222222222232</v>
      </c>
      <c r="C8">
        <v>0.47291666666666665</v>
      </c>
      <c r="D8" t="s">
        <v>15</v>
      </c>
      <c r="E8" t="s">
        <v>16</v>
      </c>
      <c r="F8" t="s">
        <v>17</v>
      </c>
      <c r="G8" t="s">
        <v>18</v>
      </c>
      <c r="H8" t="s">
        <v>47</v>
      </c>
      <c r="I8" t="s">
        <v>31</v>
      </c>
      <c r="J8" t="s">
        <v>48</v>
      </c>
      <c r="K8" t="s">
        <v>26</v>
      </c>
      <c r="L8">
        <v>60</v>
      </c>
      <c r="M8" t="s">
        <v>23</v>
      </c>
      <c r="N8" t="s">
        <v>23</v>
      </c>
      <c r="O8" t="s">
        <v>49</v>
      </c>
    </row>
    <row r="9" spans="1:15" x14ac:dyDescent="0.3">
      <c r="A9" s="2">
        <v>45981</v>
      </c>
      <c r="B9">
        <v>0.48055555555555562</v>
      </c>
      <c r="C9">
        <v>0.48333333333333339</v>
      </c>
      <c r="D9" t="s">
        <v>28</v>
      </c>
      <c r="E9" t="s">
        <v>16</v>
      </c>
      <c r="F9" t="s">
        <v>17</v>
      </c>
      <c r="G9" t="s">
        <v>18</v>
      </c>
      <c r="H9" t="s">
        <v>50</v>
      </c>
      <c r="I9" t="s">
        <v>31</v>
      </c>
      <c r="J9" t="s">
        <v>51</v>
      </c>
      <c r="K9" t="s">
        <v>52</v>
      </c>
      <c r="L9">
        <v>240</v>
      </c>
      <c r="M9" t="s">
        <v>23</v>
      </c>
      <c r="N9" t="s">
        <v>23</v>
      </c>
      <c r="O9" t="s">
        <v>53</v>
      </c>
    </row>
    <row r="10" spans="1:15" x14ac:dyDescent="0.3">
      <c r="A10" s="2">
        <v>45981</v>
      </c>
      <c r="B10">
        <v>0.47152777777777777</v>
      </c>
      <c r="C10">
        <v>0.47430555555555554</v>
      </c>
      <c r="D10" t="s">
        <v>28</v>
      </c>
      <c r="E10" t="s">
        <v>16</v>
      </c>
      <c r="F10" t="s">
        <v>17</v>
      </c>
      <c r="G10" t="s">
        <v>18</v>
      </c>
      <c r="H10" t="s">
        <v>54</v>
      </c>
      <c r="I10" t="s">
        <v>31</v>
      </c>
      <c r="J10" t="s">
        <v>55</v>
      </c>
      <c r="K10" t="s">
        <v>56</v>
      </c>
      <c r="L10">
        <v>240</v>
      </c>
      <c r="M10" t="s">
        <v>57</v>
      </c>
      <c r="N10" t="s">
        <v>23</v>
      </c>
      <c r="O10" t="s">
        <v>57</v>
      </c>
    </row>
    <row r="11" spans="1:15" x14ac:dyDescent="0.3">
      <c r="A11" s="2">
        <v>45981</v>
      </c>
      <c r="B11">
        <v>0.47013888888888888</v>
      </c>
      <c r="C11">
        <v>0.47083333333333344</v>
      </c>
      <c r="D11" t="s">
        <v>28</v>
      </c>
      <c r="E11" t="s">
        <v>16</v>
      </c>
      <c r="F11" t="s">
        <v>17</v>
      </c>
      <c r="G11" t="s">
        <v>29</v>
      </c>
      <c r="H11" t="s">
        <v>58</v>
      </c>
      <c r="I11" t="s">
        <v>31</v>
      </c>
      <c r="J11" t="s">
        <v>59</v>
      </c>
      <c r="K11" t="s">
        <v>60</v>
      </c>
      <c r="L11">
        <v>60</v>
      </c>
      <c r="M11" t="s">
        <v>61</v>
      </c>
      <c r="N11" t="s">
        <v>23</v>
      </c>
      <c r="O11" t="s">
        <v>61</v>
      </c>
    </row>
    <row r="12" spans="1:15" x14ac:dyDescent="0.3">
      <c r="A12" s="2">
        <v>45981</v>
      </c>
      <c r="B12">
        <v>0.45833333333333326</v>
      </c>
      <c r="C12">
        <v>0.45972222222222214</v>
      </c>
      <c r="D12" t="s">
        <v>28</v>
      </c>
      <c r="E12" t="s">
        <v>16</v>
      </c>
      <c r="F12" t="s">
        <v>17</v>
      </c>
      <c r="G12" t="s">
        <v>29</v>
      </c>
      <c r="H12" t="s">
        <v>62</v>
      </c>
      <c r="I12" t="s">
        <v>20</v>
      </c>
      <c r="J12" t="s">
        <v>63</v>
      </c>
      <c r="K12" t="s">
        <v>26</v>
      </c>
      <c r="L12">
        <v>120</v>
      </c>
      <c r="M12" t="s">
        <v>64</v>
      </c>
      <c r="N12" t="s">
        <v>23</v>
      </c>
      <c r="O12" t="s">
        <v>64</v>
      </c>
    </row>
    <row r="13" spans="1:15" x14ac:dyDescent="0.3">
      <c r="B13">
        <v>0.59722222222222232</v>
      </c>
      <c r="C13">
        <v>0.5986111111111112</v>
      </c>
      <c r="E13" t="s">
        <v>16</v>
      </c>
      <c r="F13" t="s">
        <v>17</v>
      </c>
      <c r="G13" t="s">
        <v>29</v>
      </c>
      <c r="I13" t="s">
        <v>31</v>
      </c>
      <c r="J13" t="s">
        <v>65</v>
      </c>
      <c r="K13" t="s">
        <v>66</v>
      </c>
      <c r="L13">
        <v>120</v>
      </c>
    </row>
    <row r="14" spans="1:15" x14ac:dyDescent="0.3">
      <c r="A14" s="2">
        <v>45973</v>
      </c>
      <c r="B14">
        <v>0.44097222222222232</v>
      </c>
      <c r="C14">
        <v>0.4423611111111112</v>
      </c>
      <c r="D14" t="s">
        <v>15</v>
      </c>
      <c r="E14" t="s">
        <v>16</v>
      </c>
      <c r="F14" t="s">
        <v>17</v>
      </c>
      <c r="G14" t="s">
        <v>24</v>
      </c>
      <c r="H14" t="s">
        <v>67</v>
      </c>
      <c r="I14" t="s">
        <v>20</v>
      </c>
      <c r="J14" t="s">
        <v>68</v>
      </c>
      <c r="K14" t="s">
        <v>69</v>
      </c>
      <c r="L14">
        <v>120</v>
      </c>
      <c r="N14" t="s">
        <v>23</v>
      </c>
    </row>
    <row r="15" spans="1:15" x14ac:dyDescent="0.3">
      <c r="A15" s="2">
        <v>45973</v>
      </c>
      <c r="B15">
        <v>11.28</v>
      </c>
      <c r="C15">
        <v>0.47916666666666674</v>
      </c>
      <c r="D15" t="s">
        <v>15</v>
      </c>
      <c r="E15" t="s">
        <v>16</v>
      </c>
      <c r="F15" t="s">
        <v>35</v>
      </c>
      <c r="G15" t="s">
        <v>18</v>
      </c>
      <c r="H15" t="s">
        <v>70</v>
      </c>
      <c r="I15" t="s">
        <v>71</v>
      </c>
      <c r="J15" t="s">
        <v>72</v>
      </c>
      <c r="K15" t="s">
        <v>73</v>
      </c>
      <c r="L15">
        <v>150</v>
      </c>
    </row>
    <row r="16" spans="1:15" x14ac:dyDescent="0.3">
      <c r="A16" s="2">
        <v>45973</v>
      </c>
      <c r="B16">
        <v>0.47569444444444442</v>
      </c>
      <c r="C16">
        <v>0.47638888888888897</v>
      </c>
      <c r="D16" t="s">
        <v>15</v>
      </c>
      <c r="E16" t="s">
        <v>16</v>
      </c>
      <c r="F16" t="s">
        <v>35</v>
      </c>
      <c r="G16" t="s">
        <v>24</v>
      </c>
      <c r="H16" t="s">
        <v>74</v>
      </c>
      <c r="J16" t="s">
        <v>75</v>
      </c>
      <c r="K16" t="s">
        <v>42</v>
      </c>
      <c r="L16">
        <v>30</v>
      </c>
    </row>
    <row r="17" spans="1:13" x14ac:dyDescent="0.3">
      <c r="A17" s="2">
        <v>45973</v>
      </c>
      <c r="B17">
        <v>0.43402777777777768</v>
      </c>
      <c r="C17">
        <v>0.43472222222222223</v>
      </c>
      <c r="D17" t="s">
        <v>15</v>
      </c>
      <c r="E17" t="s">
        <v>16</v>
      </c>
      <c r="F17" t="s">
        <v>35</v>
      </c>
      <c r="G17" t="s">
        <v>24</v>
      </c>
      <c r="H17" t="s">
        <v>76</v>
      </c>
      <c r="J17" t="s">
        <v>75</v>
      </c>
      <c r="K17" t="s">
        <v>42</v>
      </c>
      <c r="L17">
        <v>30</v>
      </c>
      <c r="M17" t="s">
        <v>77</v>
      </c>
    </row>
    <row r="18" spans="1:13" x14ac:dyDescent="0.3">
      <c r="A18" s="2">
        <v>45973</v>
      </c>
      <c r="B18">
        <v>0.4375</v>
      </c>
      <c r="C18">
        <v>0.43819444444444455</v>
      </c>
      <c r="D18" t="s">
        <v>15</v>
      </c>
      <c r="E18" t="s">
        <v>16</v>
      </c>
      <c r="F18" t="s">
        <v>35</v>
      </c>
      <c r="G18" t="s">
        <v>29</v>
      </c>
      <c r="H18" t="s">
        <v>78</v>
      </c>
      <c r="J18" t="s">
        <v>75</v>
      </c>
      <c r="K18" t="s">
        <v>42</v>
      </c>
      <c r="L18">
        <v>60</v>
      </c>
    </row>
    <row r="19" spans="1:13" x14ac:dyDescent="0.3">
      <c r="A19" s="2">
        <v>45973</v>
      </c>
      <c r="B19">
        <v>0.43819444444444455</v>
      </c>
      <c r="C19">
        <v>0.43888888888888888</v>
      </c>
      <c r="D19" t="s">
        <v>15</v>
      </c>
      <c r="E19" t="s">
        <v>16</v>
      </c>
      <c r="F19" t="s">
        <v>35</v>
      </c>
      <c r="G19" t="s">
        <v>18</v>
      </c>
      <c r="H19" t="s">
        <v>79</v>
      </c>
      <c r="J19" t="s">
        <v>75</v>
      </c>
      <c r="K19" t="s">
        <v>42</v>
      </c>
      <c r="L19">
        <v>60</v>
      </c>
    </row>
    <row r="20" spans="1:13" x14ac:dyDescent="0.3">
      <c r="A20" s="2">
        <v>45973</v>
      </c>
      <c r="B20">
        <v>0.43888888888888888</v>
      </c>
      <c r="C20">
        <v>0.43958333333333344</v>
      </c>
      <c r="D20" t="s">
        <v>15</v>
      </c>
      <c r="E20" t="s">
        <v>16</v>
      </c>
      <c r="F20" t="s">
        <v>35</v>
      </c>
      <c r="G20" t="s">
        <v>24</v>
      </c>
      <c r="H20" t="s">
        <v>80</v>
      </c>
      <c r="J20" t="s">
        <v>75</v>
      </c>
      <c r="K20" t="s">
        <v>42</v>
      </c>
      <c r="L20">
        <v>60</v>
      </c>
    </row>
    <row r="21" spans="1:13" x14ac:dyDescent="0.3">
      <c r="A21" s="2">
        <v>45973</v>
      </c>
      <c r="B21">
        <v>0.43888888888888888</v>
      </c>
      <c r="C21">
        <v>0.43958333333333344</v>
      </c>
      <c r="D21" t="s">
        <v>15</v>
      </c>
      <c r="E21" t="s">
        <v>16</v>
      </c>
      <c r="F21" t="s">
        <v>35</v>
      </c>
      <c r="G21" t="s">
        <v>24</v>
      </c>
      <c r="H21" t="s">
        <v>81</v>
      </c>
      <c r="J21" t="s">
        <v>75</v>
      </c>
      <c r="K21" t="s">
        <v>42</v>
      </c>
      <c r="L21">
        <v>60</v>
      </c>
    </row>
    <row r="22" spans="1:13" x14ac:dyDescent="0.3">
      <c r="A22" s="2">
        <v>45973</v>
      </c>
      <c r="B22">
        <v>0.43958333333333344</v>
      </c>
      <c r="C22">
        <v>0.44097222222222232</v>
      </c>
      <c r="D22" t="s">
        <v>15</v>
      </c>
      <c r="E22" t="s">
        <v>16</v>
      </c>
      <c r="F22" t="s">
        <v>35</v>
      </c>
      <c r="G22" t="s">
        <v>18</v>
      </c>
      <c r="H22" t="s">
        <v>82</v>
      </c>
      <c r="J22" t="s">
        <v>83</v>
      </c>
      <c r="K22" t="s">
        <v>84</v>
      </c>
      <c r="L22">
        <v>120</v>
      </c>
    </row>
    <row r="23" spans="1:13" x14ac:dyDescent="0.3">
      <c r="A23" s="2">
        <v>45973</v>
      </c>
      <c r="B23">
        <v>0.44097222222222232</v>
      </c>
      <c r="C23">
        <v>0.44166666666666665</v>
      </c>
      <c r="D23" t="s">
        <v>15</v>
      </c>
      <c r="E23" t="s">
        <v>16</v>
      </c>
      <c r="F23" t="s">
        <v>35</v>
      </c>
      <c r="G23" t="s">
        <v>24</v>
      </c>
      <c r="H23" t="s">
        <v>85</v>
      </c>
      <c r="J23" t="s">
        <v>86</v>
      </c>
      <c r="K23" t="s">
        <v>87</v>
      </c>
      <c r="L23">
        <v>60</v>
      </c>
    </row>
    <row r="24" spans="1:13" x14ac:dyDescent="0.3">
      <c r="A24" s="2">
        <v>45973</v>
      </c>
      <c r="B24">
        <v>0.4736111111111112</v>
      </c>
      <c r="C24">
        <v>0.47430555555555554</v>
      </c>
      <c r="D24" t="s">
        <v>15</v>
      </c>
      <c r="E24" t="s">
        <v>16</v>
      </c>
      <c r="F24" t="s">
        <v>17</v>
      </c>
      <c r="G24" t="s">
        <v>29</v>
      </c>
      <c r="H24" t="s">
        <v>88</v>
      </c>
      <c r="J24" t="s">
        <v>89</v>
      </c>
      <c r="L24">
        <v>60</v>
      </c>
    </row>
    <row r="25" spans="1:13" x14ac:dyDescent="0.3">
      <c r="A25" s="2">
        <v>45966</v>
      </c>
      <c r="B25">
        <v>0.51249999999999996</v>
      </c>
      <c r="C25">
        <v>0.51666666666666661</v>
      </c>
      <c r="D25" t="s">
        <v>15</v>
      </c>
      <c r="E25" t="s">
        <v>16</v>
      </c>
      <c r="F25" t="s">
        <v>35</v>
      </c>
      <c r="G25" t="s">
        <v>29</v>
      </c>
      <c r="H25" t="s">
        <v>90</v>
      </c>
      <c r="I25" t="s">
        <v>31</v>
      </c>
      <c r="J25" t="s">
        <v>91</v>
      </c>
      <c r="K25" t="s">
        <v>92</v>
      </c>
      <c r="L25">
        <v>360</v>
      </c>
    </row>
    <row r="26" spans="1:13" x14ac:dyDescent="0.3">
      <c r="A26" s="2">
        <v>45966</v>
      </c>
      <c r="B26">
        <v>0.50416666666666665</v>
      </c>
      <c r="C26">
        <v>0.50555555555555554</v>
      </c>
      <c r="D26" t="s">
        <v>15</v>
      </c>
      <c r="E26" t="s">
        <v>16</v>
      </c>
      <c r="F26" t="s">
        <v>35</v>
      </c>
      <c r="G26" t="s">
        <v>29</v>
      </c>
      <c r="H26" t="s">
        <v>93</v>
      </c>
      <c r="I26" t="s">
        <v>31</v>
      </c>
      <c r="J26" t="s">
        <v>94</v>
      </c>
      <c r="L26">
        <v>120</v>
      </c>
    </row>
    <row r="27" spans="1:13" x14ac:dyDescent="0.3">
      <c r="A27" s="2">
        <v>45966</v>
      </c>
      <c r="B27">
        <v>0.47916666666666674</v>
      </c>
      <c r="C27">
        <v>0.47986111111111107</v>
      </c>
      <c r="D27" t="s">
        <v>15</v>
      </c>
      <c r="E27" t="s">
        <v>16</v>
      </c>
      <c r="F27" t="s">
        <v>35</v>
      </c>
      <c r="G27" t="s">
        <v>18</v>
      </c>
      <c r="H27" t="s">
        <v>95</v>
      </c>
      <c r="I27" t="s">
        <v>31</v>
      </c>
      <c r="J27" t="s">
        <v>96</v>
      </c>
      <c r="K27" t="s">
        <v>97</v>
      </c>
      <c r="L27">
        <v>60</v>
      </c>
      <c r="M27" t="s">
        <v>98</v>
      </c>
    </row>
    <row r="28" spans="1:13" x14ac:dyDescent="0.3">
      <c r="A28" s="2">
        <v>45980</v>
      </c>
      <c r="B28">
        <v>0.58680555555555558</v>
      </c>
      <c r="C28">
        <v>0.58958333333333335</v>
      </c>
      <c r="D28" t="s">
        <v>15</v>
      </c>
      <c r="E28" t="s">
        <v>16</v>
      </c>
      <c r="F28" t="s">
        <v>35</v>
      </c>
      <c r="G28" t="s">
        <v>24</v>
      </c>
      <c r="H28" t="s">
        <v>99</v>
      </c>
      <c r="I28" t="s">
        <v>31</v>
      </c>
      <c r="J28" t="s">
        <v>100</v>
      </c>
      <c r="K28" t="s">
        <v>101</v>
      </c>
      <c r="L28">
        <v>240</v>
      </c>
    </row>
    <row r="29" spans="1:13" x14ac:dyDescent="0.3">
      <c r="A29" s="2" t="s">
        <v>102</v>
      </c>
      <c r="B29">
        <v>0.61597222222222214</v>
      </c>
      <c r="C29">
        <v>0.62083333333333335</v>
      </c>
      <c r="D29" t="s">
        <v>15</v>
      </c>
      <c r="E29" t="s">
        <v>16</v>
      </c>
      <c r="F29" t="s">
        <v>17</v>
      </c>
      <c r="G29" t="s">
        <v>18</v>
      </c>
      <c r="H29" t="s">
        <v>47</v>
      </c>
      <c r="I29" t="s">
        <v>31</v>
      </c>
      <c r="J29" t="s">
        <v>103</v>
      </c>
      <c r="K29" t="s">
        <v>104</v>
      </c>
      <c r="L29">
        <v>420</v>
      </c>
    </row>
    <row r="30" spans="1:13" x14ac:dyDescent="0.3">
      <c r="A30" s="2">
        <v>45980</v>
      </c>
      <c r="B30">
        <v>0.59027777777777768</v>
      </c>
      <c r="C30">
        <v>0.59305555555555545</v>
      </c>
      <c r="D30" t="s">
        <v>15</v>
      </c>
      <c r="E30" t="s">
        <v>16</v>
      </c>
      <c r="F30" t="s">
        <v>35</v>
      </c>
      <c r="G30" t="s">
        <v>18</v>
      </c>
      <c r="H30" t="s">
        <v>47</v>
      </c>
      <c r="I30" t="s">
        <v>31</v>
      </c>
      <c r="J30" t="s">
        <v>105</v>
      </c>
      <c r="K30" t="s">
        <v>106</v>
      </c>
      <c r="L30">
        <v>240</v>
      </c>
    </row>
    <row r="31" spans="1:13" x14ac:dyDescent="0.3">
      <c r="A31" s="2">
        <v>45973</v>
      </c>
      <c r="B31">
        <v>0.44999999999999996</v>
      </c>
      <c r="C31">
        <v>0.45138888888888884</v>
      </c>
      <c r="D31" t="s">
        <v>15</v>
      </c>
      <c r="E31" t="s">
        <v>16</v>
      </c>
      <c r="F31" t="s">
        <v>17</v>
      </c>
      <c r="G31" t="s">
        <v>24</v>
      </c>
      <c r="H31" t="s">
        <v>107</v>
      </c>
      <c r="J31" t="s">
        <v>108</v>
      </c>
      <c r="K31" t="s">
        <v>109</v>
      </c>
      <c r="L31">
        <v>120</v>
      </c>
    </row>
    <row r="32" spans="1:13" x14ac:dyDescent="0.3">
      <c r="A32" s="2">
        <v>45973</v>
      </c>
      <c r="B32">
        <v>0.44861111111111107</v>
      </c>
      <c r="C32">
        <v>0.44930555555555562</v>
      </c>
      <c r="D32" t="s">
        <v>15</v>
      </c>
      <c r="E32" t="s">
        <v>16</v>
      </c>
      <c r="F32" t="s">
        <v>17</v>
      </c>
      <c r="G32" t="s">
        <v>24</v>
      </c>
      <c r="H32" t="s">
        <v>110</v>
      </c>
      <c r="I32" t="s">
        <v>31</v>
      </c>
      <c r="J32" t="s">
        <v>111</v>
      </c>
      <c r="K32" t="s">
        <v>112</v>
      </c>
      <c r="L32">
        <v>60</v>
      </c>
    </row>
    <row r="33" spans="1:13" x14ac:dyDescent="0.3">
      <c r="A33" s="2">
        <v>45973</v>
      </c>
      <c r="B33">
        <v>0.48611111111111116</v>
      </c>
      <c r="C33">
        <v>0.48750000000000004</v>
      </c>
      <c r="D33" t="s">
        <v>15</v>
      </c>
      <c r="E33" t="s">
        <v>16</v>
      </c>
      <c r="F33" t="s">
        <v>17</v>
      </c>
      <c r="G33" t="s">
        <v>18</v>
      </c>
      <c r="H33" t="s">
        <v>113</v>
      </c>
      <c r="I33" t="s">
        <v>31</v>
      </c>
      <c r="J33" t="s">
        <v>114</v>
      </c>
      <c r="K33" t="s">
        <v>114</v>
      </c>
      <c r="L33">
        <v>120</v>
      </c>
    </row>
    <row r="34" spans="1:13" x14ac:dyDescent="0.3">
      <c r="A34" s="2">
        <v>45968</v>
      </c>
      <c r="B34">
        <v>0.45555555555555549</v>
      </c>
      <c r="C34">
        <v>0.45625000000000004</v>
      </c>
      <c r="D34" t="s">
        <v>115</v>
      </c>
      <c r="E34" t="s">
        <v>16</v>
      </c>
      <c r="F34" t="s">
        <v>17</v>
      </c>
      <c r="G34" t="s">
        <v>29</v>
      </c>
      <c r="H34" t="s">
        <v>116</v>
      </c>
      <c r="I34" t="s">
        <v>20</v>
      </c>
      <c r="J34" t="s">
        <v>117</v>
      </c>
      <c r="K34" t="s">
        <v>118</v>
      </c>
      <c r="L34">
        <v>60</v>
      </c>
    </row>
    <row r="35" spans="1:13" x14ac:dyDescent="0.3">
      <c r="A35" s="2">
        <v>45980</v>
      </c>
      <c r="B35">
        <v>0.61458333333333326</v>
      </c>
      <c r="C35">
        <v>0.62152777777777768</v>
      </c>
      <c r="D35" t="s">
        <v>15</v>
      </c>
      <c r="E35" t="s">
        <v>16</v>
      </c>
      <c r="F35" t="s">
        <v>35</v>
      </c>
      <c r="G35" t="s">
        <v>18</v>
      </c>
      <c r="H35" t="s">
        <v>40</v>
      </c>
      <c r="I35" t="s">
        <v>31</v>
      </c>
      <c r="J35" t="s">
        <v>119</v>
      </c>
      <c r="K35" t="s">
        <v>119</v>
      </c>
      <c r="L35">
        <v>600</v>
      </c>
      <c r="M35" t="s">
        <v>120</v>
      </c>
    </row>
    <row r="36" spans="1:13" x14ac:dyDescent="0.3">
      <c r="A36" s="2">
        <v>45980</v>
      </c>
      <c r="B36">
        <v>0.59097222222222223</v>
      </c>
      <c r="C36">
        <v>0.59166666666666656</v>
      </c>
      <c r="D36" t="s">
        <v>15</v>
      </c>
      <c r="E36" t="s">
        <v>16</v>
      </c>
      <c r="F36" t="s">
        <v>35</v>
      </c>
      <c r="G36" t="s">
        <v>18</v>
      </c>
      <c r="H36" t="s">
        <v>82</v>
      </c>
      <c r="I36" t="s">
        <v>31</v>
      </c>
      <c r="J36" t="s">
        <v>121</v>
      </c>
      <c r="K36" t="s">
        <v>122</v>
      </c>
      <c r="L36">
        <v>60</v>
      </c>
    </row>
    <row r="37" spans="1:13" x14ac:dyDescent="0.3">
      <c r="A37" s="2">
        <v>45980</v>
      </c>
      <c r="B37">
        <v>0.59375</v>
      </c>
      <c r="C37">
        <v>0.59583333333333344</v>
      </c>
      <c r="D37" t="s">
        <v>15</v>
      </c>
      <c r="E37" t="s">
        <v>16</v>
      </c>
      <c r="F37" t="s">
        <v>35</v>
      </c>
      <c r="G37" t="s">
        <v>29</v>
      </c>
      <c r="H37" t="s">
        <v>123</v>
      </c>
      <c r="I37" t="s">
        <v>31</v>
      </c>
      <c r="J37" t="s">
        <v>124</v>
      </c>
      <c r="K37" t="s">
        <v>124</v>
      </c>
      <c r="L37">
        <v>180</v>
      </c>
    </row>
    <row r="38" spans="1:13" x14ac:dyDescent="0.3">
      <c r="A38" s="2">
        <v>45994</v>
      </c>
      <c r="B38">
        <v>0.45625000000000004</v>
      </c>
      <c r="C38">
        <v>0.45694444444444438</v>
      </c>
      <c r="D38" t="s">
        <v>15</v>
      </c>
      <c r="E38" t="s">
        <v>16</v>
      </c>
      <c r="F38" t="s">
        <v>17</v>
      </c>
      <c r="G38" t="s">
        <v>18</v>
      </c>
      <c r="H38" t="s">
        <v>125</v>
      </c>
      <c r="I38" t="s">
        <v>31</v>
      </c>
      <c r="J38" t="s">
        <v>126</v>
      </c>
      <c r="K38" t="s">
        <v>126</v>
      </c>
      <c r="L38">
        <v>60</v>
      </c>
    </row>
    <row r="39" spans="1:13" x14ac:dyDescent="0.3">
      <c r="A39" s="2">
        <v>45994</v>
      </c>
      <c r="B39">
        <v>0.48263888888888884</v>
      </c>
      <c r="C39">
        <v>0.48333333333333339</v>
      </c>
      <c r="D39" t="s">
        <v>15</v>
      </c>
      <c r="E39" t="s">
        <v>16</v>
      </c>
      <c r="F39" t="s">
        <v>35</v>
      </c>
      <c r="G39" t="s">
        <v>29</v>
      </c>
      <c r="H39" t="s">
        <v>127</v>
      </c>
      <c r="I39" t="s">
        <v>31</v>
      </c>
      <c r="J39" t="s">
        <v>128</v>
      </c>
      <c r="K39" t="s">
        <v>128</v>
      </c>
      <c r="L39">
        <v>60</v>
      </c>
    </row>
    <row r="40" spans="1:13" x14ac:dyDescent="0.3">
      <c r="A40" s="2">
        <v>45994</v>
      </c>
      <c r="B40">
        <v>0.49027777777777781</v>
      </c>
      <c r="C40">
        <v>0.49027777777777781</v>
      </c>
      <c r="D40" t="s">
        <v>15</v>
      </c>
      <c r="E40" t="s">
        <v>16</v>
      </c>
      <c r="F40" t="s">
        <v>35</v>
      </c>
      <c r="G40" t="s">
        <v>29</v>
      </c>
      <c r="H40" t="s">
        <v>129</v>
      </c>
      <c r="I40" t="s">
        <v>31</v>
      </c>
      <c r="J40" t="s">
        <v>130</v>
      </c>
      <c r="K40" t="s">
        <v>122</v>
      </c>
      <c r="L40">
        <v>30</v>
      </c>
      <c r="M40" t="s">
        <v>131</v>
      </c>
    </row>
    <row r="41" spans="1:13" x14ac:dyDescent="0.3">
      <c r="A41" s="2">
        <v>45994</v>
      </c>
      <c r="B41">
        <v>0.49374999999999991</v>
      </c>
      <c r="C41">
        <v>0.49374999999999991</v>
      </c>
      <c r="D41" t="s">
        <v>15</v>
      </c>
      <c r="E41" t="s">
        <v>16</v>
      </c>
      <c r="F41" t="s">
        <v>35</v>
      </c>
      <c r="G41" t="s">
        <v>132</v>
      </c>
      <c r="H41" t="s">
        <v>133</v>
      </c>
      <c r="I41" t="s">
        <v>31</v>
      </c>
      <c r="J41" t="s">
        <v>130</v>
      </c>
      <c r="K41" t="s">
        <v>122</v>
      </c>
      <c r="L41">
        <v>30</v>
      </c>
    </row>
    <row r="42" spans="1:13" x14ac:dyDescent="0.3">
      <c r="A42" s="2">
        <v>45994</v>
      </c>
      <c r="B42">
        <v>0.44513888888888897</v>
      </c>
      <c r="C42">
        <v>0.4458333333333333</v>
      </c>
      <c r="D42" t="s">
        <v>15</v>
      </c>
      <c r="E42" t="s">
        <v>16</v>
      </c>
      <c r="F42" t="s">
        <v>17</v>
      </c>
      <c r="G42" t="s">
        <v>134</v>
      </c>
      <c r="H42" t="s">
        <v>135</v>
      </c>
      <c r="I42" t="s">
        <v>20</v>
      </c>
      <c r="J42" t="s">
        <v>136</v>
      </c>
      <c r="K42" t="s">
        <v>122</v>
      </c>
      <c r="L42">
        <v>60</v>
      </c>
    </row>
    <row r="43" spans="1:13" x14ac:dyDescent="0.3">
      <c r="B43">
        <v>0.49444444444444446</v>
      </c>
      <c r="C43">
        <v>0.49444444444444446</v>
      </c>
      <c r="E43" t="s">
        <v>16</v>
      </c>
      <c r="F43" t="s">
        <v>17</v>
      </c>
      <c r="G43" t="s">
        <v>29</v>
      </c>
      <c r="H43" t="s">
        <v>137</v>
      </c>
      <c r="I43" t="s">
        <v>20</v>
      </c>
      <c r="J43" t="s">
        <v>136</v>
      </c>
      <c r="K43" t="s">
        <v>122</v>
      </c>
      <c r="L43">
        <v>60</v>
      </c>
    </row>
    <row r="44" spans="1:13" x14ac:dyDescent="0.3">
      <c r="B44">
        <v>0.4951388888888888</v>
      </c>
      <c r="C44">
        <v>0.49583333333333335</v>
      </c>
      <c r="E44" t="s">
        <v>16</v>
      </c>
      <c r="F44" t="s">
        <v>35</v>
      </c>
      <c r="G44" t="s">
        <v>29</v>
      </c>
      <c r="H44" t="s">
        <v>138</v>
      </c>
      <c r="I44" t="s">
        <v>31</v>
      </c>
      <c r="J44" t="s">
        <v>139</v>
      </c>
      <c r="K44" t="s">
        <v>140</v>
      </c>
      <c r="L44">
        <v>60</v>
      </c>
    </row>
    <row r="45" spans="1:13" x14ac:dyDescent="0.3">
      <c r="B45">
        <v>0.47222222222222232</v>
      </c>
      <c r="C45">
        <v>0.47222222222222232</v>
      </c>
      <c r="E45" t="s">
        <v>16</v>
      </c>
      <c r="F45" t="s">
        <v>17</v>
      </c>
      <c r="G45" t="s">
        <v>29</v>
      </c>
      <c r="H45" t="s">
        <v>141</v>
      </c>
      <c r="I45" t="s">
        <v>31</v>
      </c>
      <c r="J45" t="s">
        <v>142</v>
      </c>
      <c r="K45" t="s">
        <v>143</v>
      </c>
      <c r="L45">
        <v>60</v>
      </c>
    </row>
    <row r="46" spans="1:13" x14ac:dyDescent="0.3">
      <c r="B46">
        <v>0.47152777777777777</v>
      </c>
      <c r="C46">
        <v>0.47152777777777777</v>
      </c>
      <c r="E46" t="s">
        <v>16</v>
      </c>
      <c r="F46" t="s">
        <v>17</v>
      </c>
      <c r="G46" t="s">
        <v>18</v>
      </c>
      <c r="H46" t="s">
        <v>144</v>
      </c>
      <c r="I46" t="s">
        <v>31</v>
      </c>
      <c r="J46" t="s">
        <v>145</v>
      </c>
      <c r="K46" t="s">
        <v>146</v>
      </c>
      <c r="L46">
        <v>60</v>
      </c>
    </row>
    <row r="47" spans="1:13" x14ac:dyDescent="0.3">
      <c r="A47" s="2">
        <v>45997</v>
      </c>
      <c r="B47">
        <v>0.48055555555555562</v>
      </c>
      <c r="C47">
        <v>0.48124999999999996</v>
      </c>
      <c r="D47" t="s">
        <v>147</v>
      </c>
      <c r="E47" t="s">
        <v>16</v>
      </c>
      <c r="F47" t="s">
        <v>35</v>
      </c>
      <c r="G47" t="s">
        <v>29</v>
      </c>
      <c r="H47" t="s">
        <v>148</v>
      </c>
      <c r="I47" t="s">
        <v>31</v>
      </c>
      <c r="J47" t="s">
        <v>149</v>
      </c>
      <c r="K47" t="s">
        <v>122</v>
      </c>
      <c r="L47">
        <v>60</v>
      </c>
    </row>
    <row r="48" spans="1:13" x14ac:dyDescent="0.3">
      <c r="A48" s="2">
        <v>45997</v>
      </c>
      <c r="B48">
        <v>0.46875</v>
      </c>
      <c r="C48">
        <v>0.46875</v>
      </c>
      <c r="D48" t="s">
        <v>147</v>
      </c>
      <c r="E48" t="s">
        <v>16</v>
      </c>
      <c r="F48" t="s">
        <v>35</v>
      </c>
      <c r="G48" t="s">
        <v>29</v>
      </c>
      <c r="H48" t="s">
        <v>150</v>
      </c>
      <c r="I48" t="s">
        <v>31</v>
      </c>
      <c r="J48" t="s">
        <v>149</v>
      </c>
      <c r="K48" t="s">
        <v>122</v>
      </c>
      <c r="L48">
        <v>60</v>
      </c>
    </row>
    <row r="49" spans="1:13" x14ac:dyDescent="0.3">
      <c r="A49" s="2">
        <v>45997</v>
      </c>
      <c r="B49">
        <v>0.47430555555555554</v>
      </c>
      <c r="C49">
        <v>0.47430555555555554</v>
      </c>
      <c r="D49" t="s">
        <v>147</v>
      </c>
      <c r="E49" t="s">
        <v>16</v>
      </c>
      <c r="F49" t="s">
        <v>35</v>
      </c>
      <c r="G49" t="s">
        <v>29</v>
      </c>
      <c r="H49" t="s">
        <v>150</v>
      </c>
      <c r="I49" t="s">
        <v>31</v>
      </c>
      <c r="J49" t="s">
        <v>149</v>
      </c>
      <c r="K49" t="s">
        <v>122</v>
      </c>
      <c r="L49">
        <v>60</v>
      </c>
      <c r="M49" t="s">
        <v>151</v>
      </c>
    </row>
    <row r="50" spans="1:13" x14ac:dyDescent="0.3">
      <c r="A50" s="2">
        <v>45998</v>
      </c>
      <c r="B50">
        <v>0.45972222222222214</v>
      </c>
      <c r="C50">
        <v>0.45972222222222214</v>
      </c>
      <c r="D50" t="s">
        <v>28</v>
      </c>
      <c r="E50" t="s">
        <v>16</v>
      </c>
      <c r="F50" t="s">
        <v>17</v>
      </c>
      <c r="G50" t="s">
        <v>24</v>
      </c>
      <c r="H50" t="s">
        <v>152</v>
      </c>
      <c r="I50" t="s">
        <v>153</v>
      </c>
      <c r="J50" t="s">
        <v>136</v>
      </c>
      <c r="K50" t="s">
        <v>122</v>
      </c>
      <c r="L50">
        <v>60</v>
      </c>
      <c r="M50" t="s">
        <v>154</v>
      </c>
    </row>
    <row r="51" spans="1:13" x14ac:dyDescent="0.3">
      <c r="A51" s="2">
        <v>45998</v>
      </c>
      <c r="B51">
        <v>0.4604166666666667</v>
      </c>
      <c r="C51">
        <v>0.46111111111111103</v>
      </c>
      <c r="D51" t="s">
        <v>28</v>
      </c>
      <c r="E51" t="s">
        <v>16</v>
      </c>
      <c r="F51" t="s">
        <v>17</v>
      </c>
      <c r="G51" t="s">
        <v>29</v>
      </c>
      <c r="H51" t="s">
        <v>155</v>
      </c>
      <c r="I51" t="s">
        <v>31</v>
      </c>
      <c r="J51" t="s">
        <v>136</v>
      </c>
      <c r="K51" t="s">
        <v>122</v>
      </c>
      <c r="L51">
        <v>60</v>
      </c>
      <c r="M51" t="s">
        <v>156</v>
      </c>
    </row>
    <row r="52" spans="1:13" x14ac:dyDescent="0.3">
      <c r="A52" s="2">
        <v>45991</v>
      </c>
      <c r="B52">
        <v>0.57569444444444451</v>
      </c>
      <c r="C52">
        <v>0.57569444444444451</v>
      </c>
      <c r="D52" t="s">
        <v>147</v>
      </c>
      <c r="E52" t="s">
        <v>16</v>
      </c>
      <c r="F52" t="s">
        <v>35</v>
      </c>
      <c r="G52" t="s">
        <v>29</v>
      </c>
      <c r="H52" t="s">
        <v>150</v>
      </c>
      <c r="I52" t="s">
        <v>31</v>
      </c>
      <c r="J52" t="s">
        <v>149</v>
      </c>
      <c r="K52" t="s">
        <v>122</v>
      </c>
      <c r="L52">
        <v>60</v>
      </c>
      <c r="M52" t="s">
        <v>157</v>
      </c>
    </row>
    <row r="53" spans="1:13" x14ac:dyDescent="0.3">
      <c r="A53" s="2">
        <v>45991</v>
      </c>
      <c r="B53">
        <v>0.50763888888888897</v>
      </c>
      <c r="C53">
        <v>0.5083333333333333</v>
      </c>
      <c r="D53" t="s">
        <v>15</v>
      </c>
      <c r="E53" t="s">
        <v>16</v>
      </c>
      <c r="F53" t="s">
        <v>35</v>
      </c>
      <c r="G53" t="s">
        <v>29</v>
      </c>
      <c r="I53" t="s">
        <v>31</v>
      </c>
      <c r="J53" t="s">
        <v>158</v>
      </c>
      <c r="K53" t="s">
        <v>122</v>
      </c>
      <c r="L53">
        <v>60</v>
      </c>
      <c r="M53" t="s">
        <v>159</v>
      </c>
    </row>
    <row r="54" spans="1:13" x14ac:dyDescent="0.3">
      <c r="B54">
        <v>0.56388888888888888</v>
      </c>
      <c r="C54">
        <v>0.56388888888888888</v>
      </c>
      <c r="D54" t="s">
        <v>147</v>
      </c>
      <c r="E54" t="s">
        <v>16</v>
      </c>
      <c r="F54" t="s">
        <v>17</v>
      </c>
      <c r="G54" t="s">
        <v>24</v>
      </c>
      <c r="I54" t="s">
        <v>20</v>
      </c>
      <c r="J54" t="s">
        <v>160</v>
      </c>
      <c r="K54" t="s">
        <v>122</v>
      </c>
      <c r="L54">
        <v>60</v>
      </c>
      <c r="M54" t="s">
        <v>161</v>
      </c>
    </row>
    <row r="55" spans="1:13" x14ac:dyDescent="0.3">
      <c r="A55" s="2">
        <v>45988</v>
      </c>
      <c r="B55">
        <v>0.48194444444444451</v>
      </c>
      <c r="C55">
        <v>0.48194444444444451</v>
      </c>
      <c r="D55" t="s">
        <v>28</v>
      </c>
      <c r="E55" t="s">
        <v>16</v>
      </c>
      <c r="F55" t="s">
        <v>35</v>
      </c>
      <c r="G55" t="s">
        <v>18</v>
      </c>
      <c r="H55" t="s">
        <v>162</v>
      </c>
      <c r="I55" t="s">
        <v>31</v>
      </c>
      <c r="J55" t="s">
        <v>163</v>
      </c>
      <c r="K55" t="s">
        <v>164</v>
      </c>
      <c r="L55">
        <v>60</v>
      </c>
    </row>
    <row r="56" spans="1:13" x14ac:dyDescent="0.3">
      <c r="A56" s="2">
        <v>45988</v>
      </c>
      <c r="B56">
        <v>0.47986111111111107</v>
      </c>
      <c r="C56">
        <v>0.47986111111111107</v>
      </c>
      <c r="D56" t="s">
        <v>28</v>
      </c>
      <c r="E56" t="s">
        <v>16</v>
      </c>
      <c r="F56" t="s">
        <v>17</v>
      </c>
      <c r="G56" t="s">
        <v>29</v>
      </c>
      <c r="H56" t="s">
        <v>165</v>
      </c>
      <c r="I56" t="s">
        <v>31</v>
      </c>
      <c r="J56" t="s">
        <v>166</v>
      </c>
      <c r="K56" t="s">
        <v>122</v>
      </c>
      <c r="L56">
        <v>60</v>
      </c>
    </row>
    <row r="57" spans="1:13" x14ac:dyDescent="0.3">
      <c r="A57" s="2">
        <v>45988</v>
      </c>
      <c r="B57">
        <v>0.4770833333333333</v>
      </c>
      <c r="C57">
        <v>0.4770833333333333</v>
      </c>
      <c r="D57" t="s">
        <v>28</v>
      </c>
      <c r="E57" t="s">
        <v>16</v>
      </c>
      <c r="F57" t="s">
        <v>17</v>
      </c>
      <c r="G57" t="s">
        <v>24</v>
      </c>
      <c r="H57" t="s">
        <v>167</v>
      </c>
      <c r="I57" t="s">
        <v>31</v>
      </c>
      <c r="J57" t="s">
        <v>166</v>
      </c>
      <c r="K57" t="s">
        <v>122</v>
      </c>
      <c r="L57">
        <v>60</v>
      </c>
    </row>
    <row r="58" spans="1:13" x14ac:dyDescent="0.3">
      <c r="A58" s="2">
        <v>45988</v>
      </c>
      <c r="B58">
        <v>0.50555555555555554</v>
      </c>
      <c r="C58">
        <v>0.50555555555555554</v>
      </c>
      <c r="D58" t="s">
        <v>28</v>
      </c>
      <c r="E58" t="s">
        <v>16</v>
      </c>
      <c r="F58" t="s">
        <v>17</v>
      </c>
      <c r="G58" t="s">
        <v>24</v>
      </c>
      <c r="H58" t="s">
        <v>168</v>
      </c>
      <c r="I58" t="s">
        <v>31</v>
      </c>
      <c r="J58" t="s">
        <v>166</v>
      </c>
      <c r="K58" t="s">
        <v>122</v>
      </c>
      <c r="L58">
        <v>60</v>
      </c>
    </row>
    <row r="59" spans="1:13" x14ac:dyDescent="0.3">
      <c r="A59" s="2">
        <v>45988</v>
      </c>
      <c r="B59">
        <v>0.50138888888888888</v>
      </c>
      <c r="C59">
        <v>0.50138888888888888</v>
      </c>
      <c r="D59" t="s">
        <v>28</v>
      </c>
      <c r="E59" t="s">
        <v>16</v>
      </c>
      <c r="F59" t="s">
        <v>17</v>
      </c>
      <c r="G59" t="s">
        <v>18</v>
      </c>
      <c r="H59" t="s">
        <v>50</v>
      </c>
      <c r="I59" t="s">
        <v>31</v>
      </c>
      <c r="J59" t="s">
        <v>166</v>
      </c>
      <c r="K59" t="s">
        <v>122</v>
      </c>
      <c r="L59">
        <v>60</v>
      </c>
      <c r="M59" t="s">
        <v>169</v>
      </c>
    </row>
    <row r="60" spans="1:13" x14ac:dyDescent="0.3">
      <c r="A60" s="2">
        <v>45988</v>
      </c>
      <c r="B60">
        <v>0.48402777777777772</v>
      </c>
      <c r="C60">
        <v>0.48472222222222228</v>
      </c>
      <c r="D60" t="s">
        <v>15</v>
      </c>
      <c r="E60" t="s">
        <v>16</v>
      </c>
      <c r="F60" t="s">
        <v>17</v>
      </c>
      <c r="G60" t="s">
        <v>24</v>
      </c>
      <c r="H60" t="s">
        <v>170</v>
      </c>
      <c r="I60" t="s">
        <v>31</v>
      </c>
      <c r="J60" t="s">
        <v>171</v>
      </c>
      <c r="K60" t="s">
        <v>172</v>
      </c>
      <c r="L60">
        <v>60</v>
      </c>
    </row>
    <row r="61" spans="1:13" x14ac:dyDescent="0.3">
      <c r="A61" s="2">
        <v>45989</v>
      </c>
      <c r="B61">
        <v>0.58402777777777781</v>
      </c>
      <c r="C61">
        <v>0.5854166666666667</v>
      </c>
      <c r="D61" t="s">
        <v>115</v>
      </c>
      <c r="E61" t="s">
        <v>16</v>
      </c>
      <c r="F61" t="s">
        <v>17</v>
      </c>
      <c r="G61" t="s">
        <v>29</v>
      </c>
      <c r="H61" t="s">
        <v>150</v>
      </c>
      <c r="I61" t="s">
        <v>31</v>
      </c>
      <c r="J61" t="s">
        <v>173</v>
      </c>
      <c r="K61" t="s">
        <v>174</v>
      </c>
      <c r="L61">
        <v>120</v>
      </c>
      <c r="M61" t="s">
        <v>175</v>
      </c>
    </row>
    <row r="62" spans="1:13" x14ac:dyDescent="0.3">
      <c r="A62" s="2">
        <v>45991</v>
      </c>
      <c r="B62">
        <v>0.50972222222222219</v>
      </c>
      <c r="C62">
        <v>0.51041666666666674</v>
      </c>
      <c r="D62" t="s">
        <v>176</v>
      </c>
      <c r="E62" t="s">
        <v>16</v>
      </c>
      <c r="F62" t="s">
        <v>35</v>
      </c>
      <c r="G62" t="s">
        <v>24</v>
      </c>
      <c r="I62" t="s">
        <v>20</v>
      </c>
      <c r="J62" t="s">
        <v>177</v>
      </c>
      <c r="K62" t="s">
        <v>178</v>
      </c>
      <c r="L62">
        <v>60</v>
      </c>
    </row>
    <row r="63" spans="1:13" x14ac:dyDescent="0.3">
      <c r="A63" s="2">
        <v>45985</v>
      </c>
      <c r="B63">
        <v>0.47222222222222232</v>
      </c>
      <c r="C63">
        <v>0.47291666666666665</v>
      </c>
      <c r="D63" t="s">
        <v>15</v>
      </c>
      <c r="E63" t="s">
        <v>16</v>
      </c>
      <c r="F63" t="s">
        <v>17</v>
      </c>
      <c r="G63" t="s">
        <v>29</v>
      </c>
      <c r="H63" t="s">
        <v>179</v>
      </c>
      <c r="I63" t="s">
        <v>31</v>
      </c>
      <c r="J63" t="s">
        <v>180</v>
      </c>
      <c r="K63" t="s">
        <v>180</v>
      </c>
      <c r="L63">
        <v>60</v>
      </c>
      <c r="M63" t="s">
        <v>181</v>
      </c>
    </row>
    <row r="64" spans="1:13" x14ac:dyDescent="0.3">
      <c r="A64" s="2">
        <v>45988</v>
      </c>
      <c r="B64">
        <v>0.46875</v>
      </c>
      <c r="C64">
        <v>0.46875</v>
      </c>
      <c r="D64" t="s">
        <v>28</v>
      </c>
      <c r="E64" t="s">
        <v>16</v>
      </c>
      <c r="F64" t="s">
        <v>35</v>
      </c>
      <c r="G64" t="s">
        <v>29</v>
      </c>
      <c r="H64" t="s">
        <v>182</v>
      </c>
      <c r="I64" t="s">
        <v>31</v>
      </c>
      <c r="J64" t="s">
        <v>158</v>
      </c>
      <c r="K64" t="s">
        <v>122</v>
      </c>
      <c r="L64">
        <v>60</v>
      </c>
      <c r="M64" t="s">
        <v>183</v>
      </c>
    </row>
    <row r="65" spans="1:13" x14ac:dyDescent="0.3">
      <c r="A65" s="2">
        <v>45989</v>
      </c>
      <c r="B65">
        <v>0.58958333333333335</v>
      </c>
      <c r="C65">
        <v>0.59027777777777768</v>
      </c>
      <c r="D65" t="s">
        <v>115</v>
      </c>
      <c r="E65" t="s">
        <v>16</v>
      </c>
      <c r="F65" t="s">
        <v>17</v>
      </c>
      <c r="G65" t="s">
        <v>29</v>
      </c>
      <c r="H65" t="s">
        <v>184</v>
      </c>
      <c r="I65" t="s">
        <v>31</v>
      </c>
      <c r="J65" t="s">
        <v>185</v>
      </c>
      <c r="K65" t="s">
        <v>186</v>
      </c>
      <c r="L65">
        <v>60</v>
      </c>
      <c r="M65" t="s">
        <v>187</v>
      </c>
    </row>
    <row r="66" spans="1:13" x14ac:dyDescent="0.3">
      <c r="B66">
        <v>0.47916666666666674</v>
      </c>
      <c r="C66">
        <v>0.48124999999999996</v>
      </c>
      <c r="E66" t="s">
        <v>16</v>
      </c>
      <c r="F66" t="s">
        <v>17</v>
      </c>
      <c r="G66" t="s">
        <v>18</v>
      </c>
      <c r="H66" t="s">
        <v>50</v>
      </c>
      <c r="I66" t="s">
        <v>20</v>
      </c>
      <c r="J66" t="s">
        <v>188</v>
      </c>
      <c r="K66" t="s">
        <v>188</v>
      </c>
      <c r="L66">
        <v>180</v>
      </c>
    </row>
    <row r="67" spans="1:13" x14ac:dyDescent="0.3">
      <c r="B67">
        <v>0.48263888888888884</v>
      </c>
      <c r="C67">
        <v>0.48263888888888884</v>
      </c>
      <c r="E67" t="s">
        <v>16</v>
      </c>
      <c r="F67" t="s">
        <v>17</v>
      </c>
      <c r="G67" t="s">
        <v>29</v>
      </c>
      <c r="H67" t="s">
        <v>189</v>
      </c>
      <c r="I67" t="s">
        <v>31</v>
      </c>
      <c r="J67" t="s">
        <v>190</v>
      </c>
      <c r="K67" t="s">
        <v>122</v>
      </c>
      <c r="L67">
        <v>60</v>
      </c>
    </row>
    <row r="68" spans="1:13" x14ac:dyDescent="0.3">
      <c r="B68">
        <v>0.48611111111111116</v>
      </c>
      <c r="C68">
        <v>0.48611111111111116</v>
      </c>
      <c r="E68" t="s">
        <v>16</v>
      </c>
      <c r="F68" t="s">
        <v>17</v>
      </c>
      <c r="G68" t="s">
        <v>18</v>
      </c>
      <c r="H68" t="s">
        <v>191</v>
      </c>
      <c r="I68" t="s">
        <v>31</v>
      </c>
      <c r="J68" t="s">
        <v>160</v>
      </c>
      <c r="K68" t="s">
        <v>122</v>
      </c>
      <c r="L68">
        <v>60</v>
      </c>
      <c r="M68" t="s">
        <v>192</v>
      </c>
    </row>
    <row r="69" spans="1:13" x14ac:dyDescent="0.3">
      <c r="B69">
        <v>0.47222222222222232</v>
      </c>
      <c r="C69">
        <v>0.47569444444444442</v>
      </c>
      <c r="E69" t="s">
        <v>16</v>
      </c>
      <c r="F69" t="s">
        <v>35</v>
      </c>
      <c r="G69" t="s">
        <v>24</v>
      </c>
      <c r="I69" t="s">
        <v>31</v>
      </c>
      <c r="J69" t="s">
        <v>193</v>
      </c>
    </row>
    <row r="70" spans="1:13" x14ac:dyDescent="0.3">
      <c r="A70" s="2">
        <v>45988</v>
      </c>
      <c r="B70">
        <v>0.47569444444444442</v>
      </c>
      <c r="C70">
        <v>0.47638888888888897</v>
      </c>
      <c r="D70" t="s">
        <v>15</v>
      </c>
      <c r="E70" t="s">
        <v>16</v>
      </c>
      <c r="F70" t="s">
        <v>35</v>
      </c>
      <c r="G70" t="s">
        <v>29</v>
      </c>
      <c r="H70" t="s">
        <v>194</v>
      </c>
      <c r="I70" t="s">
        <v>31</v>
      </c>
      <c r="J70" t="s">
        <v>195</v>
      </c>
      <c r="K70" t="s">
        <v>196</v>
      </c>
      <c r="L70">
        <v>60</v>
      </c>
    </row>
    <row r="71" spans="1:13" x14ac:dyDescent="0.3">
      <c r="A71" s="2">
        <v>45988</v>
      </c>
      <c r="B71">
        <v>0.4375</v>
      </c>
      <c r="C71">
        <v>0.43819444444444455</v>
      </c>
      <c r="D71" t="s">
        <v>15</v>
      </c>
      <c r="E71" t="s">
        <v>16</v>
      </c>
      <c r="F71" t="s">
        <v>17</v>
      </c>
      <c r="G71" t="s">
        <v>24</v>
      </c>
      <c r="H71" t="s">
        <v>197</v>
      </c>
      <c r="I71" t="s">
        <v>31</v>
      </c>
      <c r="J71" t="s">
        <v>160</v>
      </c>
      <c r="K71" t="s">
        <v>122</v>
      </c>
      <c r="L71">
        <v>60</v>
      </c>
    </row>
    <row r="72" spans="1:13" x14ac:dyDescent="0.3">
      <c r="A72" s="2">
        <v>45984</v>
      </c>
      <c r="B72">
        <v>0.60624999999999996</v>
      </c>
      <c r="C72">
        <v>0.60694444444444451</v>
      </c>
      <c r="D72" t="s">
        <v>15</v>
      </c>
      <c r="E72" t="s">
        <v>16</v>
      </c>
      <c r="F72" t="s">
        <v>35</v>
      </c>
      <c r="G72" t="s">
        <v>29</v>
      </c>
      <c r="J72" t="s">
        <v>198</v>
      </c>
      <c r="K72" t="s">
        <v>198</v>
      </c>
      <c r="L72">
        <v>60</v>
      </c>
    </row>
    <row r="73" spans="1:13" x14ac:dyDescent="0.3">
      <c r="A73" s="2">
        <v>45973</v>
      </c>
      <c r="B73">
        <v>0.47847222222222219</v>
      </c>
      <c r="C73">
        <v>0.48263888888888884</v>
      </c>
      <c r="D73" t="s">
        <v>15</v>
      </c>
      <c r="E73" t="s">
        <v>16</v>
      </c>
      <c r="F73" t="s">
        <v>17</v>
      </c>
      <c r="G73" t="s">
        <v>29</v>
      </c>
      <c r="H73" t="s">
        <v>199</v>
      </c>
      <c r="I73" t="s">
        <v>31</v>
      </c>
      <c r="J73" t="s">
        <v>200</v>
      </c>
      <c r="K73" t="s">
        <v>201</v>
      </c>
      <c r="L73">
        <v>360</v>
      </c>
    </row>
    <row r="74" spans="1:13" x14ac:dyDescent="0.3">
      <c r="A74" s="2">
        <v>45980</v>
      </c>
      <c r="B74">
        <v>0.58333333333333326</v>
      </c>
      <c r="C74">
        <v>0.58680555555555558</v>
      </c>
      <c r="D74" t="s">
        <v>15</v>
      </c>
      <c r="E74" t="s">
        <v>16</v>
      </c>
      <c r="F74" t="s">
        <v>35</v>
      </c>
      <c r="G74" t="s">
        <v>18</v>
      </c>
      <c r="H74" t="s">
        <v>202</v>
      </c>
      <c r="I74" t="s">
        <v>31</v>
      </c>
      <c r="J74" t="s">
        <v>203</v>
      </c>
      <c r="K74" t="s">
        <v>204</v>
      </c>
      <c r="L74">
        <v>300</v>
      </c>
    </row>
    <row r="75" spans="1:13" x14ac:dyDescent="0.3">
      <c r="A75" s="2">
        <v>45980</v>
      </c>
      <c r="B75">
        <v>0.59444444444444455</v>
      </c>
      <c r="C75">
        <v>0.59583333333333344</v>
      </c>
      <c r="D75" t="s">
        <v>15</v>
      </c>
      <c r="E75" t="s">
        <v>16</v>
      </c>
      <c r="F75" t="s">
        <v>35</v>
      </c>
      <c r="G75" t="s">
        <v>29</v>
      </c>
      <c r="H75" t="s">
        <v>205</v>
      </c>
      <c r="I75" t="s">
        <v>31</v>
      </c>
      <c r="J75" t="s">
        <v>206</v>
      </c>
      <c r="K75" t="s">
        <v>206</v>
      </c>
      <c r="L75">
        <v>120</v>
      </c>
    </row>
    <row r="76" spans="1:13" x14ac:dyDescent="0.3">
      <c r="B76">
        <v>11.59</v>
      </c>
      <c r="C76">
        <v>12.04</v>
      </c>
      <c r="E76" t="s">
        <v>16</v>
      </c>
      <c r="F76" t="s">
        <v>17</v>
      </c>
      <c r="G76" t="s">
        <v>134</v>
      </c>
      <c r="H76" t="s">
        <v>207</v>
      </c>
      <c r="I76" t="s">
        <v>31</v>
      </c>
      <c r="J76" t="s">
        <v>208</v>
      </c>
      <c r="K76" t="s">
        <v>209</v>
      </c>
      <c r="L76">
        <v>250</v>
      </c>
      <c r="M76" t="s">
        <v>210</v>
      </c>
    </row>
    <row r="77" spans="1:13" x14ac:dyDescent="0.3">
      <c r="A77" s="2">
        <v>45991</v>
      </c>
      <c r="B77">
        <v>0.58055555555555549</v>
      </c>
      <c r="C77">
        <v>0.58055555555555549</v>
      </c>
      <c r="D77" t="s">
        <v>147</v>
      </c>
      <c r="E77" t="s">
        <v>16</v>
      </c>
      <c r="F77" t="s">
        <v>211</v>
      </c>
      <c r="G77" t="s">
        <v>18</v>
      </c>
      <c r="I77" t="s">
        <v>31</v>
      </c>
      <c r="J77" t="s">
        <v>212</v>
      </c>
    </row>
    <row r="78" spans="1:13" x14ac:dyDescent="0.3">
      <c r="A78" s="2">
        <v>45991</v>
      </c>
      <c r="B78">
        <v>0.58125000000000004</v>
      </c>
      <c r="C78">
        <v>0.58333333333333326</v>
      </c>
      <c r="D78" t="s">
        <v>147</v>
      </c>
      <c r="E78" t="s">
        <v>16</v>
      </c>
      <c r="F78" t="s">
        <v>17</v>
      </c>
      <c r="G78" t="s">
        <v>134</v>
      </c>
      <c r="I78" t="s">
        <v>213</v>
      </c>
      <c r="J78" t="s">
        <v>214</v>
      </c>
      <c r="K78" t="s">
        <v>215</v>
      </c>
      <c r="L78">
        <v>180</v>
      </c>
    </row>
    <row r="79" spans="1:13" x14ac:dyDescent="0.3">
      <c r="A79" s="2">
        <v>45988</v>
      </c>
      <c r="B79">
        <v>11.04</v>
      </c>
      <c r="C79">
        <v>11.05</v>
      </c>
      <c r="D79" t="s">
        <v>28</v>
      </c>
      <c r="E79" t="s">
        <v>16</v>
      </c>
      <c r="F79" t="s">
        <v>17</v>
      </c>
      <c r="G79" t="s">
        <v>134</v>
      </c>
      <c r="H79" t="s">
        <v>216</v>
      </c>
      <c r="J79" t="s">
        <v>217</v>
      </c>
      <c r="K79" t="s">
        <v>218</v>
      </c>
      <c r="L79">
        <v>60</v>
      </c>
    </row>
    <row r="80" spans="1:13" x14ac:dyDescent="0.3">
      <c r="B80">
        <v>11.48</v>
      </c>
      <c r="C80">
        <v>11.48</v>
      </c>
      <c r="E80" t="s">
        <v>16</v>
      </c>
      <c r="F80" t="s">
        <v>17</v>
      </c>
      <c r="G80" t="s">
        <v>134</v>
      </c>
      <c r="H80" t="s">
        <v>219</v>
      </c>
      <c r="I80" t="s">
        <v>220</v>
      </c>
      <c r="J80" t="s">
        <v>221</v>
      </c>
      <c r="K80" t="s">
        <v>222</v>
      </c>
      <c r="L80">
        <v>60</v>
      </c>
      <c r="M80" t="s">
        <v>223</v>
      </c>
    </row>
    <row r="81" spans="1:13" x14ac:dyDescent="0.3">
      <c r="A81" s="2">
        <v>45991</v>
      </c>
      <c r="B81">
        <v>0.59097222222222223</v>
      </c>
      <c r="C81">
        <v>0.59513888888888888</v>
      </c>
      <c r="D81" t="s">
        <v>147</v>
      </c>
      <c r="E81" t="s">
        <v>16</v>
      </c>
      <c r="F81" t="s">
        <v>35</v>
      </c>
      <c r="G81" t="s">
        <v>134</v>
      </c>
      <c r="H81" t="s">
        <v>224</v>
      </c>
      <c r="I81" t="s">
        <v>225</v>
      </c>
      <c r="J81" t="s">
        <v>226</v>
      </c>
      <c r="K81" t="s">
        <v>227</v>
      </c>
      <c r="L81">
        <v>300</v>
      </c>
      <c r="M81" t="s">
        <v>228</v>
      </c>
    </row>
    <row r="82" spans="1:13" x14ac:dyDescent="0.3">
      <c r="B82">
        <v>0.50277777777777777</v>
      </c>
      <c r="C82">
        <v>0.50416666666666665</v>
      </c>
      <c r="E82" t="s">
        <v>16</v>
      </c>
      <c r="F82" t="s">
        <v>35</v>
      </c>
      <c r="G82" t="s">
        <v>134</v>
      </c>
      <c r="H82" t="s">
        <v>229</v>
      </c>
      <c r="I82" t="s">
        <v>213</v>
      </c>
      <c r="J82" t="s">
        <v>230</v>
      </c>
      <c r="K82" t="s">
        <v>231</v>
      </c>
      <c r="L82">
        <v>120</v>
      </c>
    </row>
    <row r="83" spans="1:13" x14ac:dyDescent="0.3">
      <c r="A83" s="2">
        <v>45988</v>
      </c>
      <c r="B83">
        <v>0.50972222222222219</v>
      </c>
      <c r="C83">
        <v>0.51319444444444451</v>
      </c>
      <c r="D83" t="s">
        <v>28</v>
      </c>
      <c r="E83" t="s">
        <v>16</v>
      </c>
      <c r="F83" t="s">
        <v>17</v>
      </c>
      <c r="G83" t="s">
        <v>18</v>
      </c>
      <c r="H83" t="s">
        <v>232</v>
      </c>
      <c r="J83" t="s">
        <v>233</v>
      </c>
      <c r="K83" t="s">
        <v>234</v>
      </c>
      <c r="L83">
        <v>300</v>
      </c>
    </row>
    <row r="84" spans="1:13" x14ac:dyDescent="0.3">
      <c r="A84" s="2">
        <v>45988</v>
      </c>
      <c r="B84">
        <v>0.50625000000000009</v>
      </c>
      <c r="C84">
        <v>0.51111111111111107</v>
      </c>
      <c r="D84" t="s">
        <v>28</v>
      </c>
      <c r="E84" t="s">
        <v>16</v>
      </c>
      <c r="F84" t="s">
        <v>17</v>
      </c>
      <c r="G84" t="s">
        <v>235</v>
      </c>
      <c r="H84" t="s">
        <v>236</v>
      </c>
      <c r="J84" t="s">
        <v>237</v>
      </c>
      <c r="K84" t="s">
        <v>238</v>
      </c>
      <c r="L84">
        <v>350</v>
      </c>
      <c r="M84" t="s">
        <v>239</v>
      </c>
    </row>
    <row r="85" spans="1:13" x14ac:dyDescent="0.3">
      <c r="A85" s="2">
        <v>45991</v>
      </c>
      <c r="B85">
        <v>0.56527777777777777</v>
      </c>
      <c r="C85">
        <v>0.56527777777777777</v>
      </c>
      <c r="D85" t="s">
        <v>147</v>
      </c>
      <c r="E85" t="s">
        <v>16</v>
      </c>
      <c r="F85" t="s">
        <v>17</v>
      </c>
      <c r="G85" t="s">
        <v>29</v>
      </c>
      <c r="H85" t="s">
        <v>240</v>
      </c>
      <c r="I85" t="s">
        <v>220</v>
      </c>
      <c r="J85" t="s">
        <v>241</v>
      </c>
      <c r="K85" t="s">
        <v>242</v>
      </c>
      <c r="L85">
        <v>15</v>
      </c>
      <c r="M85" t="s">
        <v>243</v>
      </c>
    </row>
    <row r="86" spans="1:13" x14ac:dyDescent="0.3">
      <c r="A86" s="2">
        <v>45988</v>
      </c>
      <c r="B86">
        <v>11.46</v>
      </c>
      <c r="C86">
        <v>0.49027777777777781</v>
      </c>
      <c r="D86" t="s">
        <v>28</v>
      </c>
      <c r="E86" t="s">
        <v>16</v>
      </c>
      <c r="F86" t="s">
        <v>244</v>
      </c>
      <c r="G86" t="s">
        <v>29</v>
      </c>
      <c r="H86" t="s">
        <v>240</v>
      </c>
      <c r="J86" t="s">
        <v>245</v>
      </c>
      <c r="K86" t="s">
        <v>246</v>
      </c>
      <c r="L86">
        <v>0</v>
      </c>
      <c r="M86" t="s">
        <v>247</v>
      </c>
    </row>
    <row r="87" spans="1:13" x14ac:dyDescent="0.3">
      <c r="A87" s="2">
        <v>45991</v>
      </c>
      <c r="B87">
        <v>13.25</v>
      </c>
      <c r="C87">
        <v>13.29</v>
      </c>
      <c r="D87" t="s">
        <v>147</v>
      </c>
      <c r="E87" t="s">
        <v>16</v>
      </c>
      <c r="F87" t="s">
        <v>35</v>
      </c>
      <c r="G87" t="s">
        <v>134</v>
      </c>
      <c r="H87" t="s">
        <v>248</v>
      </c>
      <c r="I87" t="s">
        <v>249</v>
      </c>
      <c r="J87" t="s">
        <v>250</v>
      </c>
      <c r="K87" t="s">
        <v>251</v>
      </c>
      <c r="L87">
        <v>240</v>
      </c>
      <c r="M87" t="s">
        <v>252</v>
      </c>
    </row>
    <row r="88" spans="1:13" x14ac:dyDescent="0.3">
      <c r="A88" s="2">
        <v>45991</v>
      </c>
      <c r="B88">
        <v>0.59583333333333344</v>
      </c>
      <c r="C88">
        <v>0.59652777777777777</v>
      </c>
      <c r="D88" t="s">
        <v>147</v>
      </c>
      <c r="E88" t="s">
        <v>16</v>
      </c>
      <c r="F88" t="s">
        <v>35</v>
      </c>
      <c r="G88" t="s">
        <v>134</v>
      </c>
      <c r="H88" t="s">
        <v>253</v>
      </c>
      <c r="I88" t="s">
        <v>220</v>
      </c>
      <c r="J88" t="s">
        <v>254</v>
      </c>
      <c r="K88" t="s">
        <v>255</v>
      </c>
      <c r="L88">
        <v>60</v>
      </c>
    </row>
    <row r="89" spans="1:13" x14ac:dyDescent="0.3">
      <c r="A89" s="2">
        <v>45991</v>
      </c>
      <c r="B89">
        <v>0.56944444444444442</v>
      </c>
      <c r="C89">
        <v>13.43</v>
      </c>
      <c r="D89" t="s">
        <v>147</v>
      </c>
      <c r="E89" t="s">
        <v>16</v>
      </c>
      <c r="F89" t="s">
        <v>17</v>
      </c>
      <c r="G89" t="s">
        <v>134</v>
      </c>
      <c r="H89" t="s">
        <v>256</v>
      </c>
      <c r="I89" t="s">
        <v>257</v>
      </c>
      <c r="J89" t="s">
        <v>258</v>
      </c>
      <c r="K89" t="s">
        <v>259</v>
      </c>
      <c r="L89">
        <v>240</v>
      </c>
      <c r="M89" t="s">
        <v>260</v>
      </c>
    </row>
    <row r="90" spans="1:13" x14ac:dyDescent="0.3">
      <c r="A90" s="2">
        <v>45991</v>
      </c>
      <c r="B90">
        <v>0.57152777777777786</v>
      </c>
      <c r="C90">
        <v>0.57291666666666674</v>
      </c>
      <c r="D90" t="s">
        <v>147</v>
      </c>
      <c r="E90" t="s">
        <v>16</v>
      </c>
      <c r="F90" t="s">
        <v>17</v>
      </c>
      <c r="G90" t="s">
        <v>18</v>
      </c>
      <c r="I90" t="s">
        <v>220</v>
      </c>
      <c r="J90" t="s">
        <v>261</v>
      </c>
      <c r="K90" t="s">
        <v>262</v>
      </c>
      <c r="L90">
        <v>120</v>
      </c>
    </row>
    <row r="91" spans="1:13" x14ac:dyDescent="0.3">
      <c r="A91" s="2">
        <v>45991</v>
      </c>
      <c r="B91">
        <v>0.57361111111111107</v>
      </c>
      <c r="C91">
        <v>0.57499999999999996</v>
      </c>
      <c r="D91" t="s">
        <v>263</v>
      </c>
      <c r="E91" t="s">
        <v>16</v>
      </c>
      <c r="F91" t="s">
        <v>35</v>
      </c>
      <c r="G91" t="s">
        <v>24</v>
      </c>
      <c r="H91" t="s">
        <v>264</v>
      </c>
      <c r="I91" t="s">
        <v>249</v>
      </c>
      <c r="J91" t="s">
        <v>265</v>
      </c>
      <c r="K91" t="s">
        <v>266</v>
      </c>
      <c r="L91">
        <v>120</v>
      </c>
    </row>
    <row r="92" spans="1:13" x14ac:dyDescent="0.3">
      <c r="B92">
        <v>0.49027777777777781</v>
      </c>
      <c r="C92">
        <v>0.49097222222222214</v>
      </c>
      <c r="E92" t="s">
        <v>16</v>
      </c>
      <c r="F92" t="s">
        <v>35</v>
      </c>
      <c r="G92" t="s">
        <v>18</v>
      </c>
      <c r="H92" t="s">
        <v>267</v>
      </c>
      <c r="J92" t="s">
        <v>268</v>
      </c>
      <c r="K92" t="s">
        <v>269</v>
      </c>
      <c r="L92">
        <v>60</v>
      </c>
      <c r="M92" t="s">
        <v>270</v>
      </c>
    </row>
    <row r="93" spans="1:13" x14ac:dyDescent="0.3">
      <c r="A93" s="2">
        <v>45993</v>
      </c>
      <c r="B93">
        <v>0.48541666666666661</v>
      </c>
      <c r="C93">
        <v>0.48680555555555549</v>
      </c>
      <c r="E93" t="s">
        <v>16</v>
      </c>
      <c r="F93" t="s">
        <v>271</v>
      </c>
      <c r="G93" t="s">
        <v>235</v>
      </c>
      <c r="H93" t="s">
        <v>272</v>
      </c>
      <c r="J93" t="s">
        <v>273</v>
      </c>
      <c r="K93" t="s">
        <v>274</v>
      </c>
      <c r="L93">
        <v>180</v>
      </c>
    </row>
    <row r="94" spans="1:13" x14ac:dyDescent="0.3">
      <c r="B94">
        <v>11.33</v>
      </c>
      <c r="C94">
        <v>11.37</v>
      </c>
      <c r="E94" t="s">
        <v>16</v>
      </c>
      <c r="F94" t="s">
        <v>271</v>
      </c>
      <c r="G94" t="s">
        <v>275</v>
      </c>
      <c r="H94" t="s">
        <v>276</v>
      </c>
      <c r="J94" t="s">
        <v>277</v>
      </c>
      <c r="K94" t="s">
        <v>278</v>
      </c>
      <c r="L94">
        <v>240</v>
      </c>
    </row>
    <row r="95" spans="1:13" x14ac:dyDescent="0.3">
      <c r="B95">
        <v>0.48055555555555562</v>
      </c>
      <c r="C95">
        <v>0.48124999999999996</v>
      </c>
      <c r="E95" t="s">
        <v>16</v>
      </c>
      <c r="F95" t="s">
        <v>279</v>
      </c>
      <c r="G95" t="s">
        <v>18</v>
      </c>
      <c r="H95" t="s">
        <v>280</v>
      </c>
      <c r="J95" t="s">
        <v>281</v>
      </c>
      <c r="K95" t="s">
        <v>282</v>
      </c>
      <c r="L95">
        <v>60</v>
      </c>
    </row>
    <row r="96" spans="1:13" x14ac:dyDescent="0.3">
      <c r="B96">
        <v>0.4736111111111112</v>
      </c>
      <c r="C96">
        <v>0.47430555555555554</v>
      </c>
      <c r="E96" t="s">
        <v>16</v>
      </c>
      <c r="F96" t="s">
        <v>271</v>
      </c>
      <c r="G96" t="s">
        <v>275</v>
      </c>
      <c r="H96" t="s">
        <v>283</v>
      </c>
      <c r="J96" t="s">
        <v>284</v>
      </c>
      <c r="K96" t="s">
        <v>285</v>
      </c>
      <c r="L96">
        <v>60</v>
      </c>
    </row>
    <row r="97" spans="1:13" x14ac:dyDescent="0.3">
      <c r="B97">
        <v>0.47847222222222219</v>
      </c>
      <c r="C97">
        <v>0.47916666666666674</v>
      </c>
      <c r="E97" t="s">
        <v>16</v>
      </c>
      <c r="F97" t="s">
        <v>35</v>
      </c>
      <c r="G97" t="s">
        <v>275</v>
      </c>
      <c r="H97" t="s">
        <v>286</v>
      </c>
      <c r="J97" t="s">
        <v>287</v>
      </c>
      <c r="K97" t="s">
        <v>288</v>
      </c>
      <c r="L97">
        <v>60</v>
      </c>
    </row>
    <row r="98" spans="1:13" x14ac:dyDescent="0.3">
      <c r="B98">
        <v>0.49652777777777768</v>
      </c>
      <c r="C98">
        <v>0.49722222222222223</v>
      </c>
      <c r="E98" t="s">
        <v>16</v>
      </c>
      <c r="F98" t="s">
        <v>35</v>
      </c>
      <c r="G98" t="s">
        <v>18</v>
      </c>
      <c r="H98" t="s">
        <v>289</v>
      </c>
      <c r="J98" t="s">
        <v>290</v>
      </c>
      <c r="K98" t="s">
        <v>291</v>
      </c>
      <c r="L98">
        <v>60</v>
      </c>
    </row>
    <row r="99" spans="1:13" x14ac:dyDescent="0.3">
      <c r="A99" s="2">
        <v>45994</v>
      </c>
      <c r="B99">
        <v>0.48263888888888884</v>
      </c>
      <c r="C99">
        <v>0.48333333333333339</v>
      </c>
      <c r="D99" t="s">
        <v>292</v>
      </c>
      <c r="E99" t="s">
        <v>16</v>
      </c>
      <c r="F99" t="s">
        <v>293</v>
      </c>
      <c r="G99" t="s">
        <v>18</v>
      </c>
      <c r="H99" t="s">
        <v>294</v>
      </c>
      <c r="I99" t="s">
        <v>249</v>
      </c>
      <c r="J99" t="s">
        <v>295</v>
      </c>
      <c r="K99" t="s">
        <v>296</v>
      </c>
      <c r="L99">
        <v>60</v>
      </c>
    </row>
    <row r="100" spans="1:13" x14ac:dyDescent="0.3">
      <c r="A100" s="2">
        <v>45994</v>
      </c>
      <c r="B100">
        <v>0.48333333333333339</v>
      </c>
      <c r="C100">
        <v>0.48472222222222228</v>
      </c>
      <c r="D100" t="s">
        <v>292</v>
      </c>
      <c r="E100" t="s">
        <v>16</v>
      </c>
      <c r="F100" t="s">
        <v>35</v>
      </c>
      <c r="G100" t="s">
        <v>134</v>
      </c>
      <c r="H100" t="s">
        <v>297</v>
      </c>
      <c r="J100" t="s">
        <v>298</v>
      </c>
      <c r="K100" t="s">
        <v>299</v>
      </c>
      <c r="L100">
        <v>120</v>
      </c>
    </row>
    <row r="101" spans="1:13" x14ac:dyDescent="0.3">
      <c r="A101" s="2">
        <v>45994</v>
      </c>
      <c r="B101">
        <v>0.47986111111111107</v>
      </c>
      <c r="C101">
        <v>0.48263888888888884</v>
      </c>
      <c r="D101" t="s">
        <v>292</v>
      </c>
      <c r="E101" t="s">
        <v>16</v>
      </c>
      <c r="F101" t="s">
        <v>35</v>
      </c>
      <c r="G101" t="s">
        <v>18</v>
      </c>
      <c r="H101" t="s">
        <v>300</v>
      </c>
      <c r="J101" t="s">
        <v>301</v>
      </c>
      <c r="K101" t="s">
        <v>302</v>
      </c>
      <c r="L101">
        <v>240</v>
      </c>
    </row>
    <row r="102" spans="1:13" x14ac:dyDescent="0.3">
      <c r="A102" s="2">
        <v>45994</v>
      </c>
      <c r="B102">
        <v>0.43819444444444455</v>
      </c>
      <c r="C102">
        <v>0.44166666666666665</v>
      </c>
      <c r="D102" t="s">
        <v>15</v>
      </c>
      <c r="E102" t="s">
        <v>16</v>
      </c>
      <c r="F102" t="s">
        <v>17</v>
      </c>
      <c r="G102" t="s">
        <v>18</v>
      </c>
      <c r="H102" t="s">
        <v>303</v>
      </c>
      <c r="I102" t="s">
        <v>220</v>
      </c>
      <c r="J102" t="s">
        <v>304</v>
      </c>
      <c r="K102" t="s">
        <v>305</v>
      </c>
      <c r="L102">
        <v>300</v>
      </c>
    </row>
    <row r="103" spans="1:13" x14ac:dyDescent="0.3">
      <c r="A103" s="2">
        <v>45994</v>
      </c>
      <c r="B103">
        <v>0.4375</v>
      </c>
      <c r="C103">
        <v>0.43819444444444455</v>
      </c>
      <c r="D103" t="s">
        <v>15</v>
      </c>
      <c r="E103" t="s">
        <v>16</v>
      </c>
      <c r="F103" t="s">
        <v>17</v>
      </c>
      <c r="G103" t="s">
        <v>18</v>
      </c>
      <c r="H103" t="s">
        <v>306</v>
      </c>
      <c r="I103" t="s">
        <v>220</v>
      </c>
      <c r="J103" t="s">
        <v>307</v>
      </c>
      <c r="K103" t="s">
        <v>308</v>
      </c>
      <c r="L103">
        <v>60</v>
      </c>
    </row>
    <row r="104" spans="1:13" x14ac:dyDescent="0.3">
      <c r="A104" s="2">
        <v>45996</v>
      </c>
      <c r="B104">
        <v>0.5</v>
      </c>
      <c r="C104">
        <v>0.58333333333333326</v>
      </c>
      <c r="D104" t="s">
        <v>309</v>
      </c>
      <c r="E104" t="s">
        <v>16</v>
      </c>
      <c r="F104" t="s">
        <v>271</v>
      </c>
      <c r="G104" t="s">
        <v>271</v>
      </c>
      <c r="H104" t="s">
        <v>271</v>
      </c>
      <c r="I104" t="s">
        <v>271</v>
      </c>
      <c r="J104" t="s">
        <v>310</v>
      </c>
      <c r="K104" t="s">
        <v>311</v>
      </c>
    </row>
    <row r="105" spans="1:13" x14ac:dyDescent="0.3">
      <c r="A105" s="2">
        <v>45996</v>
      </c>
      <c r="B105">
        <v>0.5</v>
      </c>
      <c r="C105">
        <v>0.58333333333333326</v>
      </c>
      <c r="D105" t="s">
        <v>309</v>
      </c>
      <c r="E105" t="s">
        <v>16</v>
      </c>
      <c r="F105" t="s">
        <v>312</v>
      </c>
      <c r="G105" t="s">
        <v>312</v>
      </c>
      <c r="H105" t="s">
        <v>312</v>
      </c>
      <c r="I105" t="s">
        <v>312</v>
      </c>
      <c r="J105" t="s">
        <v>310</v>
      </c>
      <c r="K105" t="s">
        <v>313</v>
      </c>
    </row>
    <row r="106" spans="1:13" x14ac:dyDescent="0.3">
      <c r="A106" s="2">
        <v>45973</v>
      </c>
      <c r="B106">
        <v>0.47777777777777786</v>
      </c>
      <c r="C106">
        <v>0.47916666666666674</v>
      </c>
      <c r="D106" t="s">
        <v>15</v>
      </c>
      <c r="E106" t="s">
        <v>16</v>
      </c>
      <c r="F106" t="s">
        <v>35</v>
      </c>
      <c r="G106" t="s">
        <v>18</v>
      </c>
      <c r="H106" t="s">
        <v>314</v>
      </c>
      <c r="I106" t="s">
        <v>249</v>
      </c>
      <c r="J106" t="s">
        <v>315</v>
      </c>
      <c r="K106" t="s">
        <v>316</v>
      </c>
      <c r="L106">
        <v>120</v>
      </c>
    </row>
    <row r="107" spans="1:13" x14ac:dyDescent="0.3">
      <c r="A107" s="2">
        <v>45966</v>
      </c>
      <c r="B107">
        <v>0.46944444444444455</v>
      </c>
      <c r="C107">
        <v>0.47083333333333344</v>
      </c>
      <c r="D107" t="s">
        <v>292</v>
      </c>
      <c r="E107" t="s">
        <v>16</v>
      </c>
      <c r="F107" t="s">
        <v>35</v>
      </c>
      <c r="G107" t="s">
        <v>18</v>
      </c>
      <c r="H107" t="s">
        <v>317</v>
      </c>
      <c r="I107" t="s">
        <v>249</v>
      </c>
      <c r="J107" t="s">
        <v>318</v>
      </c>
      <c r="K107" t="s">
        <v>319</v>
      </c>
      <c r="L107">
        <v>120</v>
      </c>
    </row>
    <row r="108" spans="1:13" x14ac:dyDescent="0.3">
      <c r="A108" s="2">
        <v>45984</v>
      </c>
      <c r="B108">
        <v>0.58472222222222214</v>
      </c>
      <c r="C108">
        <v>0.5854166666666667</v>
      </c>
      <c r="D108" t="s">
        <v>15</v>
      </c>
      <c r="E108" t="s">
        <v>16</v>
      </c>
      <c r="F108" t="s">
        <v>35</v>
      </c>
      <c r="G108" t="s">
        <v>134</v>
      </c>
      <c r="J108" t="s">
        <v>320</v>
      </c>
      <c r="K108" t="s">
        <v>321</v>
      </c>
      <c r="L108">
        <v>60</v>
      </c>
    </row>
    <row r="109" spans="1:13" x14ac:dyDescent="0.3">
      <c r="A109" s="2">
        <v>45984</v>
      </c>
      <c r="B109">
        <v>0.6298611111111112</v>
      </c>
      <c r="C109">
        <v>0.63125000000000009</v>
      </c>
      <c r="D109" t="s">
        <v>322</v>
      </c>
      <c r="E109" t="s">
        <v>16</v>
      </c>
      <c r="F109" t="s">
        <v>17</v>
      </c>
      <c r="G109" t="s">
        <v>134</v>
      </c>
      <c r="J109" t="s">
        <v>323</v>
      </c>
      <c r="K109" t="s">
        <v>324</v>
      </c>
      <c r="L109">
        <v>120</v>
      </c>
    </row>
    <row r="110" spans="1:13" x14ac:dyDescent="0.3">
      <c r="A110" s="2">
        <v>45966</v>
      </c>
      <c r="B110">
        <v>0.46875</v>
      </c>
      <c r="C110">
        <v>0.47569444444444442</v>
      </c>
      <c r="D110" t="s">
        <v>15</v>
      </c>
      <c r="E110" t="s">
        <v>16</v>
      </c>
      <c r="F110" t="s">
        <v>279</v>
      </c>
      <c r="G110" t="s">
        <v>18</v>
      </c>
      <c r="H110" t="s">
        <v>325</v>
      </c>
      <c r="I110" t="s">
        <v>249</v>
      </c>
      <c r="J110" t="s">
        <v>326</v>
      </c>
      <c r="K110" t="s">
        <v>327</v>
      </c>
      <c r="L110">
        <v>600</v>
      </c>
      <c r="M110" t="s">
        <v>328</v>
      </c>
    </row>
    <row r="111" spans="1:13" x14ac:dyDescent="0.3">
      <c r="A111" s="2">
        <v>45984</v>
      </c>
      <c r="B111">
        <v>0.61250000000000004</v>
      </c>
      <c r="C111">
        <v>0.61458333333333326</v>
      </c>
      <c r="D111" t="s">
        <v>322</v>
      </c>
      <c r="E111" t="s">
        <v>16</v>
      </c>
      <c r="F111" t="s">
        <v>35</v>
      </c>
      <c r="J111" t="s">
        <v>329</v>
      </c>
      <c r="K111" t="s">
        <v>330</v>
      </c>
      <c r="L111">
        <v>180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23EF-3A82-4F67-A615-7137CD0FD167}">
  <dimension ref="A1:AB250"/>
  <sheetViews>
    <sheetView zoomScale="85" zoomScaleNormal="85" workbookViewId="0">
      <pane xSplit="1" topLeftCell="Q1" activePane="topRight" state="frozen"/>
      <selection pane="topRight" activeCell="Y2" sqref="Y2:Y28"/>
    </sheetView>
  </sheetViews>
  <sheetFormatPr defaultRowHeight="14.4" x14ac:dyDescent="0.3"/>
  <cols>
    <col min="1" max="1" width="6.6640625" customWidth="1"/>
    <col min="2" max="2" width="9.109375" customWidth="1"/>
    <col min="3" max="3" width="10.21875" customWidth="1"/>
    <col min="4" max="4" width="16.6640625" customWidth="1"/>
    <col min="5" max="6" width="11.33203125" customWidth="1"/>
    <col min="7" max="7" width="18" bestFit="1" customWidth="1"/>
    <col min="8" max="8" width="11.5546875" customWidth="1"/>
    <col min="9" max="9" width="24" bestFit="1" customWidth="1"/>
    <col min="10" max="13" width="14.109375" customWidth="1"/>
    <col min="14" max="17" width="19" customWidth="1"/>
    <col min="18" max="20" width="18" customWidth="1"/>
    <col min="21" max="21" width="12.109375" customWidth="1"/>
    <col min="23" max="23" width="7.77734375" hidden="1" customWidth="1"/>
    <col min="24" max="24" width="7.44140625" hidden="1" customWidth="1"/>
    <col min="25" max="25" width="7.44140625" customWidth="1"/>
    <col min="26" max="26" width="24.33203125" bestFit="1" customWidth="1"/>
  </cols>
  <sheetData>
    <row r="1" spans="1:28" x14ac:dyDescent="0.3">
      <c r="A1" t="s">
        <v>629</v>
      </c>
      <c r="B1" t="s">
        <v>630</v>
      </c>
      <c r="C1" t="s">
        <v>631</v>
      </c>
      <c r="D1" t="s">
        <v>632</v>
      </c>
      <c r="E1" t="s">
        <v>633</v>
      </c>
      <c r="F1" t="s">
        <v>902</v>
      </c>
      <c r="G1" t="s">
        <v>634</v>
      </c>
      <c r="H1" t="s">
        <v>635</v>
      </c>
      <c r="I1" t="s">
        <v>636</v>
      </c>
      <c r="J1" t="s">
        <v>637</v>
      </c>
      <c r="K1" t="s">
        <v>638</v>
      </c>
      <c r="L1" t="s">
        <v>729</v>
      </c>
      <c r="M1" t="s">
        <v>752</v>
      </c>
      <c r="N1" t="s">
        <v>639</v>
      </c>
      <c r="O1" t="s">
        <v>730</v>
      </c>
      <c r="P1" t="s">
        <v>702</v>
      </c>
      <c r="Q1" t="s">
        <v>833</v>
      </c>
      <c r="R1" t="s">
        <v>640</v>
      </c>
      <c r="S1" t="s">
        <v>773</v>
      </c>
      <c r="T1" t="s">
        <v>733</v>
      </c>
      <c r="U1" t="s">
        <v>641</v>
      </c>
      <c r="W1" s="9" t="s">
        <v>675</v>
      </c>
      <c r="X1" s="10" t="s">
        <v>679</v>
      </c>
      <c r="Y1" s="10" t="s">
        <v>678</v>
      </c>
      <c r="Z1" s="10" t="s">
        <v>694</v>
      </c>
    </row>
    <row r="2" spans="1:28" x14ac:dyDescent="0.3">
      <c r="A2" s="5">
        <v>46367</v>
      </c>
      <c r="B2" s="3">
        <v>0.49652777777777779</v>
      </c>
      <c r="C2" s="3">
        <v>0.49652777777777779</v>
      </c>
      <c r="D2" t="s">
        <v>15</v>
      </c>
      <c r="E2" t="s">
        <v>16</v>
      </c>
      <c r="F2" t="str">
        <f>LEFT(Table4[[#This Row],[direction]],1)</f>
        <v>a</v>
      </c>
      <c r="G2" t="s">
        <v>642</v>
      </c>
      <c r="H2" t="s">
        <v>490</v>
      </c>
      <c r="I2" t="s">
        <v>650</v>
      </c>
      <c r="J2" s="14" t="b">
        <v>0</v>
      </c>
      <c r="K2" t="s">
        <v>651</v>
      </c>
      <c r="L2" t="str">
        <f>IFERROR(LEFT(Table4[[#This Row],[route_codes]],FIND(";",Table4[[#This Row],[route_codes]])-1),Table4[[#This Row],[route_codes]])</f>
        <v>A-a</v>
      </c>
      <c r="M2" t="s">
        <v>703</v>
      </c>
      <c r="N2" t="s">
        <v>654</v>
      </c>
      <c r="O2">
        <f>IFERROR(LEFT(Table4[[#This Row],[point_codes]],FIND(";",Table4[[#This Row],[point_codes]])-1),Table4[[#This Row],[point_codes]])</f>
        <v>0</v>
      </c>
      <c r="Q2" t="str">
        <f>IF(ISBLANK(Table4[[#This Row],[point_codes]]), "", LEN(Table4[[#This Row],[point_codes]])-LEN(SUBSTITUTE(Table4[[#This Row],[point_codes]],";",""))+1)</f>
        <v/>
      </c>
      <c r="R2" t="s">
        <v>654</v>
      </c>
      <c r="T2" t="s">
        <v>736</v>
      </c>
      <c r="U2" s="3">
        <f>Table4[[#This Row],[time_out]]-Table4[[#This Row],[time_in]]</f>
        <v>0</v>
      </c>
      <c r="W2" s="7" t="s">
        <v>670</v>
      </c>
      <c r="X2" s="6">
        <v>0</v>
      </c>
      <c r="Y2" s="8" t="str">
        <f>_xlfn.TEXTJOIN("-",FALSE, point_codes[[#This Row],[room]:[point]])</f>
        <v>I-0</v>
      </c>
      <c r="Z2" s="8" t="s">
        <v>671</v>
      </c>
      <c r="AB2" t="s">
        <v>769</v>
      </c>
    </row>
    <row r="3" spans="1:28" x14ac:dyDescent="0.3">
      <c r="A3" s="5">
        <v>46369</v>
      </c>
      <c r="B3" s="3">
        <v>0.50347222222222221</v>
      </c>
      <c r="C3" s="3">
        <v>0.50416666666666665</v>
      </c>
      <c r="D3" t="s">
        <v>28</v>
      </c>
      <c r="E3" t="s">
        <v>16</v>
      </c>
      <c r="F3" t="str">
        <f>LEFT(Table4[[#This Row],[direction]],1)</f>
        <v>b</v>
      </c>
      <c r="G3" t="s">
        <v>646</v>
      </c>
      <c r="H3" t="s">
        <v>643</v>
      </c>
      <c r="I3" t="s">
        <v>652</v>
      </c>
      <c r="J3" s="14" t="b">
        <v>0</v>
      </c>
      <c r="K3" t="s">
        <v>653</v>
      </c>
      <c r="L3" t="str">
        <f>IFERROR(LEFT(Table4[[#This Row],[route_codes]],FIND(";",Table4[[#This Row],[route_codes]])-1),Table4[[#This Row],[route_codes]])</f>
        <v>A-d</v>
      </c>
      <c r="M3" t="s">
        <v>705</v>
      </c>
      <c r="N3" t="s">
        <v>655</v>
      </c>
      <c r="O3">
        <f>IFERROR(LEFT(Table4[[#This Row],[point_codes]],FIND(";",Table4[[#This Row],[point_codes]])-1),Table4[[#This Row],[point_codes]])</f>
        <v>0</v>
      </c>
      <c r="Q3" t="str">
        <f>IF(ISBLANK(Table4[[#This Row],[point_codes]]), "", LEN(Table4[[#This Row],[point_codes]])-LEN(SUBSTITUTE(Table4[[#This Row],[point_codes]],";",""))+1)</f>
        <v/>
      </c>
      <c r="R3" t="s">
        <v>655</v>
      </c>
      <c r="T3" t="s">
        <v>735</v>
      </c>
      <c r="U3" s="3">
        <f>Table4[[#This Row],[time_out]]-Table4[[#This Row],[time_in]]</f>
        <v>6.9444444444444198E-4</v>
      </c>
      <c r="W3" s="7" t="s">
        <v>16</v>
      </c>
      <c r="X3" s="6">
        <v>0</v>
      </c>
      <c r="Y3" s="8" t="str">
        <f>_xlfn.TEXTJOIN("-",FALSE, point_codes[[#This Row],[room]:[point]])</f>
        <v>A-0</v>
      </c>
      <c r="Z3" s="8" t="s">
        <v>658</v>
      </c>
      <c r="AB3" t="s">
        <v>770</v>
      </c>
    </row>
    <row r="4" spans="1:28" x14ac:dyDescent="0.3">
      <c r="A4" s="5">
        <v>46369</v>
      </c>
      <c r="B4" s="3">
        <v>0.49236111111111114</v>
      </c>
      <c r="C4" s="3">
        <v>0.4934027777777778</v>
      </c>
      <c r="D4" t="s">
        <v>28</v>
      </c>
      <c r="E4" t="s">
        <v>16</v>
      </c>
      <c r="F4" t="str">
        <f>LEFT(Table4[[#This Row],[direction]],1)</f>
        <v>b</v>
      </c>
      <c r="G4" t="s">
        <v>646</v>
      </c>
      <c r="H4" t="s">
        <v>490</v>
      </c>
      <c r="I4" t="s">
        <v>656</v>
      </c>
      <c r="J4" s="14" t="b">
        <v>0</v>
      </c>
      <c r="K4" t="s">
        <v>665</v>
      </c>
      <c r="L4" t="str">
        <f>IFERROR(LEFT(Table4[[#This Row],[route_codes]],FIND(";",Table4[[#This Row],[route_codes]])-1),Table4[[#This Row],[route_codes]])</f>
        <v>A-d</v>
      </c>
      <c r="M4" t="s">
        <v>707</v>
      </c>
      <c r="O4" t="str">
        <f>IFERROR(LEFT(Table4[[#This Row],[point_codes]],FIND(";",Table4[[#This Row],[point_codes]])-1),Table4[[#This Row],[point_codes]])</f>
        <v>A-10</v>
      </c>
      <c r="P4" t="s">
        <v>708</v>
      </c>
      <c r="Q4">
        <f>IF(ISBLANK(Table4[[#This Row],[point_codes]]), "", LEN(Table4[[#This Row],[point_codes]])-LEN(SUBSTITUTE(Table4[[#This Row],[point_codes]],";",""))+1)</f>
        <v>2</v>
      </c>
      <c r="R4" t="s">
        <v>657</v>
      </c>
      <c r="T4" t="s">
        <v>734</v>
      </c>
      <c r="U4" s="3">
        <f>Table4[[#This Row],[time_out]]-Table4[[#This Row],[time_in]]</f>
        <v>1.041666666666663E-3</v>
      </c>
      <c r="W4" s="7" t="s">
        <v>16</v>
      </c>
      <c r="X4" s="6">
        <v>1</v>
      </c>
      <c r="Y4" s="8" t="str">
        <f>_xlfn.TEXTJOIN("-",FALSE, point_codes[[#This Row],[room]:[point]])</f>
        <v>A-1</v>
      </c>
      <c r="Z4" s="8" t="s">
        <v>672</v>
      </c>
    </row>
    <row r="5" spans="1:28" x14ac:dyDescent="0.3">
      <c r="A5" s="5">
        <v>46369</v>
      </c>
      <c r="B5" s="3">
        <v>0.49166666666666664</v>
      </c>
      <c r="C5" s="3">
        <v>0.49375000000000002</v>
      </c>
      <c r="D5" t="s">
        <v>28</v>
      </c>
      <c r="E5" t="s">
        <v>16</v>
      </c>
      <c r="F5" t="str">
        <f>LEFT(Table4[[#This Row],[direction]],1)</f>
        <v>b</v>
      </c>
      <c r="G5" t="s">
        <v>646</v>
      </c>
      <c r="H5" t="s">
        <v>134</v>
      </c>
      <c r="I5" t="s">
        <v>666</v>
      </c>
      <c r="J5" s="14" t="b">
        <v>0</v>
      </c>
      <c r="K5" t="s">
        <v>668</v>
      </c>
      <c r="L5" t="str">
        <f>IFERROR(LEFT(Table4[[#This Row],[route_codes]],FIND(";",Table4[[#This Row],[route_codes]])-1),Table4[[#This Row],[route_codes]])</f>
        <v>A-c</v>
      </c>
      <c r="M5" t="s">
        <v>706</v>
      </c>
      <c r="O5" t="str">
        <f>IFERROR(LEFT(Table4[[#This Row],[point_codes]],FIND(";",Table4[[#This Row],[point_codes]])-1),Table4[[#This Row],[point_codes]])</f>
        <v>A-7</v>
      </c>
      <c r="P5" t="s">
        <v>704</v>
      </c>
      <c r="Q5">
        <f>IF(ISBLANK(Table4[[#This Row],[point_codes]]), "", LEN(Table4[[#This Row],[point_codes]])-LEN(SUBSTITUTE(Table4[[#This Row],[point_codes]],";",""))+1)</f>
        <v>10</v>
      </c>
      <c r="R5" t="s">
        <v>669</v>
      </c>
      <c r="T5" t="s">
        <v>734</v>
      </c>
      <c r="U5" s="3">
        <f>Table4[[#This Row],[time_out]]-Table4[[#This Row],[time_in]]</f>
        <v>2.0833333333333814E-3</v>
      </c>
      <c r="W5" s="7" t="s">
        <v>16</v>
      </c>
      <c r="X5" s="6">
        <v>2</v>
      </c>
      <c r="Y5" s="8" t="str">
        <f>_xlfn.TEXTJOIN("-",FALSE, point_codes[[#This Row],[room]:[point]])</f>
        <v>A-2</v>
      </c>
      <c r="Z5" s="8" t="s">
        <v>673</v>
      </c>
      <c r="AB5" t="s">
        <v>771</v>
      </c>
    </row>
    <row r="6" spans="1:28" x14ac:dyDescent="0.3">
      <c r="A6" s="5">
        <v>46369</v>
      </c>
      <c r="B6" s="3">
        <v>0.49027777777777776</v>
      </c>
      <c r="C6" s="3">
        <v>0.49027777777777776</v>
      </c>
      <c r="D6" t="s">
        <v>28</v>
      </c>
      <c r="E6" t="s">
        <v>16</v>
      </c>
      <c r="F6" t="str">
        <f>LEFT(Table4[[#This Row],[direction]],1)</f>
        <v>a</v>
      </c>
      <c r="G6" t="s">
        <v>642</v>
      </c>
      <c r="H6" t="s">
        <v>643</v>
      </c>
      <c r="I6" t="s">
        <v>709</v>
      </c>
      <c r="J6" s="14" t="b">
        <v>0</v>
      </c>
      <c r="L6" t="str">
        <f>IFERROR(LEFT(Table4[[#This Row],[route_codes]],FIND(";",Table4[[#This Row],[route_codes]])-1),Table4[[#This Row],[route_codes]])</f>
        <v>A-a</v>
      </c>
      <c r="M6" t="s">
        <v>703</v>
      </c>
      <c r="O6">
        <f>IFERROR(LEFT(Table4[[#This Row],[point_codes]],FIND(";",Table4[[#This Row],[point_codes]])-1),Table4[[#This Row],[point_codes]])</f>
        <v>0</v>
      </c>
      <c r="Q6" t="str">
        <f>IF(ISBLANK(Table4[[#This Row],[point_codes]]), "", LEN(Table4[[#This Row],[point_codes]])-LEN(SUBSTITUTE(Table4[[#This Row],[point_codes]],";",""))+1)</f>
        <v/>
      </c>
      <c r="R6" t="s">
        <v>710</v>
      </c>
      <c r="T6" t="s">
        <v>736</v>
      </c>
      <c r="U6" s="3">
        <f>Table4[[#This Row],[time_out]]-Table4[[#This Row],[time_in]]</f>
        <v>0</v>
      </c>
      <c r="W6" s="7" t="s">
        <v>16</v>
      </c>
      <c r="X6" s="6">
        <v>3</v>
      </c>
      <c r="Y6" s="8" t="str">
        <f>_xlfn.TEXTJOIN("-",FALSE, point_codes[[#This Row],[room]:[point]])</f>
        <v>A-3</v>
      </c>
      <c r="Z6" s="8" t="s">
        <v>667</v>
      </c>
    </row>
    <row r="7" spans="1:28" x14ac:dyDescent="0.3">
      <c r="A7" s="5">
        <v>46369</v>
      </c>
      <c r="B7" s="3">
        <v>0.48819444444444443</v>
      </c>
      <c r="C7" s="3">
        <v>0.49027777777777776</v>
      </c>
      <c r="D7" t="s">
        <v>28</v>
      </c>
      <c r="E7" t="s">
        <v>16</v>
      </c>
      <c r="F7" t="str">
        <f>LEFT(Table4[[#This Row],[direction]],1)</f>
        <v>b</v>
      </c>
      <c r="G7" t="s">
        <v>646</v>
      </c>
      <c r="H7" t="s">
        <v>643</v>
      </c>
      <c r="I7" t="s">
        <v>709</v>
      </c>
      <c r="J7" s="14" t="b">
        <v>0</v>
      </c>
      <c r="L7" t="str">
        <f>IFERROR(LEFT(Table4[[#This Row],[route_codes]],FIND(";",Table4[[#This Row],[route_codes]])-1),Table4[[#This Row],[route_codes]])</f>
        <v>A-c</v>
      </c>
      <c r="M7" t="s">
        <v>711</v>
      </c>
      <c r="O7" t="str">
        <f>IFERROR(LEFT(Table4[[#This Row],[point_codes]],FIND(";",Table4[[#This Row],[point_codes]])-1),Table4[[#This Row],[point_codes]])</f>
        <v>A-5</v>
      </c>
      <c r="P7" t="s">
        <v>712</v>
      </c>
      <c r="Q7">
        <f>IF(ISBLANK(Table4[[#This Row],[point_codes]]), "", LEN(Table4[[#This Row],[point_codes]])-LEN(SUBSTITUTE(Table4[[#This Row],[point_codes]],";",""))+1)</f>
        <v>3</v>
      </c>
      <c r="T7" t="s">
        <v>312</v>
      </c>
      <c r="U7" s="3">
        <f>Table4[[#This Row],[time_out]]-Table4[[#This Row],[time_in]]</f>
        <v>2.0833333333333259E-3</v>
      </c>
      <c r="W7" s="7" t="s">
        <v>16</v>
      </c>
      <c r="X7" s="6">
        <v>4</v>
      </c>
      <c r="Y7" s="8" t="str">
        <f>_xlfn.TEXTJOIN("-",FALSE, point_codes[[#This Row],[room]:[point]])</f>
        <v>A-4</v>
      </c>
      <c r="Z7" s="8" t="s">
        <v>663</v>
      </c>
      <c r="AB7" t="s">
        <v>772</v>
      </c>
    </row>
    <row r="8" spans="1:28" x14ac:dyDescent="0.3">
      <c r="A8" s="5">
        <v>46369</v>
      </c>
      <c r="B8" s="3">
        <v>0.48680555555555555</v>
      </c>
      <c r="C8" s="3">
        <v>0.48680555555555555</v>
      </c>
      <c r="D8" t="s">
        <v>28</v>
      </c>
      <c r="E8" t="s">
        <v>16</v>
      </c>
      <c r="F8" t="str">
        <f>LEFT(Table4[[#This Row],[direction]],1)</f>
        <v>b</v>
      </c>
      <c r="G8" t="s">
        <v>646</v>
      </c>
      <c r="H8" t="s">
        <v>643</v>
      </c>
      <c r="I8" t="s">
        <v>709</v>
      </c>
      <c r="J8" s="14" t="b">
        <v>0</v>
      </c>
      <c r="L8" t="str">
        <f>IFERROR(LEFT(Table4[[#This Row],[route_codes]],FIND(";",Table4[[#This Row],[route_codes]])-1),Table4[[#This Row],[route_codes]])</f>
        <v>A-c</v>
      </c>
      <c r="M8" t="s">
        <v>713</v>
      </c>
      <c r="O8">
        <f>IFERROR(LEFT(Table4[[#This Row],[point_codes]],FIND(";",Table4[[#This Row],[point_codes]])-1),Table4[[#This Row],[point_codes]])</f>
        <v>0</v>
      </c>
      <c r="Q8" t="str">
        <f>IF(ISBLANK(Table4[[#This Row],[point_codes]]), "", LEN(Table4[[#This Row],[point_codes]])-LEN(SUBSTITUTE(Table4[[#This Row],[point_codes]],";",""))+1)</f>
        <v/>
      </c>
      <c r="R8" t="s">
        <v>714</v>
      </c>
      <c r="T8" t="s">
        <v>735</v>
      </c>
      <c r="U8" s="3">
        <f>Table4[[#This Row],[time_out]]-Table4[[#This Row],[time_in]]</f>
        <v>0</v>
      </c>
      <c r="W8" s="7" t="s">
        <v>16</v>
      </c>
      <c r="X8" s="6">
        <v>5</v>
      </c>
      <c r="Y8" s="8" t="str">
        <f>_xlfn.TEXTJOIN("-",FALSE, point_codes[[#This Row],[room]:[point]])</f>
        <v>A-5</v>
      </c>
      <c r="Z8" s="8" t="s">
        <v>661</v>
      </c>
    </row>
    <row r="9" spans="1:28" x14ac:dyDescent="0.3">
      <c r="A9" s="5">
        <v>46369</v>
      </c>
      <c r="B9" s="3">
        <v>0.4777777777777778</v>
      </c>
      <c r="C9" s="3">
        <v>0.47847222222222224</v>
      </c>
      <c r="D9" t="s">
        <v>28</v>
      </c>
      <c r="E9" t="s">
        <v>16</v>
      </c>
      <c r="F9" t="str">
        <f>LEFT(Table4[[#This Row],[direction]],1)</f>
        <v>b</v>
      </c>
      <c r="G9" t="s">
        <v>646</v>
      </c>
      <c r="H9" t="s">
        <v>490</v>
      </c>
      <c r="I9" t="s">
        <v>719</v>
      </c>
      <c r="J9" s="14" t="b">
        <v>0</v>
      </c>
      <c r="L9" t="str">
        <f>IFERROR(LEFT(Table4[[#This Row],[route_codes]],FIND(";",Table4[[#This Row],[route_codes]])-1),Table4[[#This Row],[route_codes]])</f>
        <v>A-c</v>
      </c>
      <c r="M9" t="s">
        <v>713</v>
      </c>
      <c r="O9">
        <f>IFERROR(LEFT(Table4[[#This Row],[point_codes]],FIND(";",Table4[[#This Row],[point_codes]])-1),Table4[[#This Row],[point_codes]])</f>
        <v>0</v>
      </c>
      <c r="Q9" t="str">
        <f>IF(ISBLANK(Table4[[#This Row],[point_codes]]), "", LEN(Table4[[#This Row],[point_codes]])-LEN(SUBSTITUTE(Table4[[#This Row],[point_codes]],";",""))+1)</f>
        <v/>
      </c>
      <c r="R9" t="s">
        <v>747</v>
      </c>
      <c r="T9" t="s">
        <v>735</v>
      </c>
      <c r="U9" s="3">
        <f>Table4[[#This Row],[time_out]]-Table4[[#This Row],[time_in]]</f>
        <v>6.9444444444444198E-4</v>
      </c>
      <c r="W9" s="7" t="s">
        <v>16</v>
      </c>
      <c r="X9" s="6">
        <v>6</v>
      </c>
      <c r="Y9" s="8" t="str">
        <f>_xlfn.TEXTJOIN("-",FALSE, point_codes[[#This Row],[room]:[point]])</f>
        <v>A-6</v>
      </c>
      <c r="Z9" s="8" t="s">
        <v>662</v>
      </c>
    </row>
    <row r="10" spans="1:28" x14ac:dyDescent="0.3">
      <c r="A10" s="5">
        <v>46367</v>
      </c>
      <c r="B10" s="3">
        <v>0.49513888888888891</v>
      </c>
      <c r="C10" s="3">
        <v>0.49791666666666667</v>
      </c>
      <c r="D10" t="s">
        <v>15</v>
      </c>
      <c r="E10" t="s">
        <v>16</v>
      </c>
      <c r="F10" t="str">
        <f>LEFT(Table4[[#This Row],[direction]],1)</f>
        <v>a</v>
      </c>
      <c r="G10" t="s">
        <v>642</v>
      </c>
      <c r="H10" t="s">
        <v>134</v>
      </c>
      <c r="I10" t="s">
        <v>720</v>
      </c>
      <c r="J10" s="14" t="b">
        <v>0</v>
      </c>
      <c r="L10" t="str">
        <f>IFERROR(LEFT(Table4[[#This Row],[route_codes]],FIND(";",Table4[[#This Row],[route_codes]])-1),Table4[[#This Row],[route_codes]])</f>
        <v>A-a</v>
      </c>
      <c r="M10" t="s">
        <v>721</v>
      </c>
      <c r="O10" t="str">
        <f>IFERROR(LEFT(Table4[[#This Row],[point_codes]],FIND(";",Table4[[#This Row],[point_codes]])-1),Table4[[#This Row],[point_codes]])</f>
        <v>A-8</v>
      </c>
      <c r="P10" t="s">
        <v>722</v>
      </c>
      <c r="Q10">
        <f>IF(ISBLANK(Table4[[#This Row],[point_codes]]), "", LEN(Table4[[#This Row],[point_codes]])-LEN(SUBSTITUTE(Table4[[#This Row],[point_codes]],";",""))+1)</f>
        <v>5</v>
      </c>
      <c r="R10" t="s">
        <v>723</v>
      </c>
      <c r="T10" t="s">
        <v>734</v>
      </c>
      <c r="U10" s="3">
        <f>Table4[[#This Row],[time_out]]-Table4[[#This Row],[time_in]]</f>
        <v>2.7777777777777679E-3</v>
      </c>
      <c r="W10" s="7" t="s">
        <v>16</v>
      </c>
      <c r="X10" s="6">
        <v>7</v>
      </c>
      <c r="Y10" s="8" t="str">
        <f>_xlfn.TEXTJOIN("-",FALSE, point_codes[[#This Row],[room]:[point]])</f>
        <v>A-7</v>
      </c>
      <c r="Z10" s="8" t="s">
        <v>664</v>
      </c>
    </row>
    <row r="11" spans="1:28" x14ac:dyDescent="0.3">
      <c r="A11" s="5">
        <v>46367</v>
      </c>
      <c r="B11" s="3">
        <v>0.49166666666666664</v>
      </c>
      <c r="C11" s="3">
        <v>0.49305555555555558</v>
      </c>
      <c r="D11" t="s">
        <v>15</v>
      </c>
      <c r="E11" t="s">
        <v>16</v>
      </c>
      <c r="F11" t="str">
        <f>LEFT(Table4[[#This Row],[direction]],1)</f>
        <v>a</v>
      </c>
      <c r="G11" t="s">
        <v>642</v>
      </c>
      <c r="H11" t="s">
        <v>724</v>
      </c>
      <c r="I11" t="s">
        <v>727</v>
      </c>
      <c r="J11" s="14" t="b">
        <v>0</v>
      </c>
      <c r="L11" t="str">
        <f>IFERROR(LEFT(Table4[[#This Row],[route_codes]],FIND(";",Table4[[#This Row],[route_codes]])-1),Table4[[#This Row],[route_codes]])</f>
        <v>A-a</v>
      </c>
      <c r="M11" t="s">
        <v>703</v>
      </c>
      <c r="O11" t="str">
        <f>IFERROR(LEFT(Table4[[#This Row],[point_codes]],FIND(";",Table4[[#This Row],[point_codes]])-1),Table4[[#This Row],[point_codes]])</f>
        <v>A-2</v>
      </c>
      <c r="P11" t="s">
        <v>725</v>
      </c>
      <c r="Q11">
        <f>IF(ISBLANK(Table4[[#This Row],[point_codes]]), "", LEN(Table4[[#This Row],[point_codes]])-LEN(SUBSTITUTE(Table4[[#This Row],[point_codes]],";",""))+1)</f>
        <v>3</v>
      </c>
      <c r="R11" t="s">
        <v>726</v>
      </c>
      <c r="T11" t="s">
        <v>734</v>
      </c>
      <c r="U11" s="3">
        <f>Table4[[#This Row],[time_out]]-Table4[[#This Row],[time_in]]</f>
        <v>1.3888888888889395E-3</v>
      </c>
      <c r="W11" s="7" t="s">
        <v>16</v>
      </c>
      <c r="X11" s="6">
        <v>8</v>
      </c>
      <c r="Y11" s="8" t="str">
        <f>_xlfn.TEXTJOIN("-",FALSE, point_codes[[#This Row],[room]:[point]])</f>
        <v>A-8</v>
      </c>
      <c r="Z11" s="8" t="s">
        <v>676</v>
      </c>
    </row>
    <row r="12" spans="1:28" x14ac:dyDescent="0.3">
      <c r="A12" s="5">
        <v>46367</v>
      </c>
      <c r="B12" s="3">
        <v>0.46736111111111112</v>
      </c>
      <c r="C12" s="3">
        <v>0.47152777777777777</v>
      </c>
      <c r="D12" t="s">
        <v>15</v>
      </c>
      <c r="E12" t="s">
        <v>16</v>
      </c>
      <c r="F12" t="str">
        <f>LEFT(Table4[[#This Row],[direction]],1)</f>
        <v>a</v>
      </c>
      <c r="G12" t="s">
        <v>642</v>
      </c>
      <c r="H12" t="s">
        <v>134</v>
      </c>
      <c r="I12" t="s">
        <v>728</v>
      </c>
      <c r="J12" s="14" t="b">
        <v>0</v>
      </c>
      <c r="L12" t="str">
        <f>IFERROR(LEFT(Table4[[#This Row],[route_codes]],FIND(";",Table4[[#This Row],[route_codes]])-1),Table4[[#This Row],[route_codes]])</f>
        <v>A-a</v>
      </c>
      <c r="M12" t="s">
        <v>703</v>
      </c>
      <c r="O12" t="str">
        <f>IFERROR(LEFT(Table4[[#This Row],[point_codes]],FIND(";",Table4[[#This Row],[point_codes]])-1),Table4[[#This Row],[point_codes]])</f>
        <v>A-2</v>
      </c>
      <c r="P12" t="s">
        <v>731</v>
      </c>
      <c r="Q12">
        <f>IF(ISBLANK(Table4[[#This Row],[point_codes]]), "", LEN(Table4[[#This Row],[point_codes]])-LEN(SUBSTITUTE(Table4[[#This Row],[point_codes]],";",""))+1)</f>
        <v>6</v>
      </c>
      <c r="R12" t="s">
        <v>732</v>
      </c>
      <c r="T12" t="s">
        <v>734</v>
      </c>
      <c r="U12" s="3">
        <f>Table4[[#This Row],[time_out]]-Table4[[#This Row],[time_in]]</f>
        <v>4.1666666666666519E-3</v>
      </c>
      <c r="W12" s="7" t="s">
        <v>16</v>
      </c>
      <c r="X12" s="6">
        <v>9</v>
      </c>
      <c r="Y12" s="8" t="str">
        <f>_xlfn.TEXTJOIN("-",FALSE, point_codes[[#This Row],[room]:[point]])</f>
        <v>A-9</v>
      </c>
      <c r="Z12" s="8" t="s">
        <v>677</v>
      </c>
    </row>
    <row r="13" spans="1:28" x14ac:dyDescent="0.3">
      <c r="A13" s="5">
        <v>46367</v>
      </c>
      <c r="B13" s="3">
        <v>0.4909722222222222</v>
      </c>
      <c r="C13" s="3">
        <v>0.49375000000000002</v>
      </c>
      <c r="D13" t="s">
        <v>15</v>
      </c>
      <c r="E13" t="s">
        <v>16</v>
      </c>
      <c r="F13" t="str">
        <f>LEFT(Table4[[#This Row],[direction]],1)</f>
        <v>b</v>
      </c>
      <c r="G13" t="s">
        <v>646</v>
      </c>
      <c r="H13" t="s">
        <v>134</v>
      </c>
      <c r="I13" t="s">
        <v>737</v>
      </c>
      <c r="J13" s="14" t="b">
        <v>0</v>
      </c>
      <c r="L13" t="str">
        <f>IFERROR(LEFT(Table4[[#This Row],[route_codes]],FIND(";",Table4[[#This Row],[route_codes]])-1),Table4[[#This Row],[route_codes]])</f>
        <v>A-d</v>
      </c>
      <c r="M13" t="s">
        <v>739</v>
      </c>
      <c r="O13" t="str">
        <f>IFERROR(LEFT(Table4[[#This Row],[point_codes]],FIND(";",Table4[[#This Row],[point_codes]])-1),Table4[[#This Row],[point_codes]])</f>
        <v>A-10</v>
      </c>
      <c r="P13" t="s">
        <v>740</v>
      </c>
      <c r="Q13">
        <f>IF(ISBLANK(Table4[[#This Row],[point_codes]]), "", LEN(Table4[[#This Row],[point_codes]])-LEN(SUBSTITUTE(Table4[[#This Row],[point_codes]],";",""))+1)</f>
        <v>3</v>
      </c>
      <c r="R13" t="s">
        <v>738</v>
      </c>
      <c r="T13" t="s">
        <v>734</v>
      </c>
      <c r="U13" s="3">
        <f>Table4[[#This Row],[time_out]]-Table4[[#This Row],[time_in]]</f>
        <v>2.7777777777778234E-3</v>
      </c>
      <c r="W13" s="7" t="s">
        <v>16</v>
      </c>
      <c r="X13" s="6">
        <v>10</v>
      </c>
      <c r="Y13" s="8" t="str">
        <f>_xlfn.TEXTJOIN("-",FALSE, point_codes[[#This Row],[room]:[point]])</f>
        <v>A-10</v>
      </c>
      <c r="Z13" s="8" t="s">
        <v>660</v>
      </c>
    </row>
    <row r="14" spans="1:28" x14ac:dyDescent="0.3">
      <c r="A14" s="5">
        <v>46367</v>
      </c>
      <c r="B14" s="3">
        <v>0.45833333333333331</v>
      </c>
      <c r="C14" s="3">
        <v>0.45833333333333331</v>
      </c>
      <c r="D14" t="s">
        <v>15</v>
      </c>
      <c r="E14" t="s">
        <v>16</v>
      </c>
      <c r="F14" t="str">
        <f>LEFT(Table4[[#This Row],[direction]],1)</f>
        <v>b</v>
      </c>
      <c r="G14" t="s">
        <v>646</v>
      </c>
      <c r="H14" t="s">
        <v>643</v>
      </c>
      <c r="I14" t="s">
        <v>741</v>
      </c>
      <c r="J14" s="14" t="b">
        <v>0</v>
      </c>
      <c r="L14" t="str">
        <f>IFERROR(LEFT(Table4[[#This Row],[route_codes]],FIND(";",Table4[[#This Row],[route_codes]])-1),Table4[[#This Row],[route_codes]])</f>
        <v>A-c</v>
      </c>
      <c r="M14" t="s">
        <v>713</v>
      </c>
      <c r="O14">
        <f>IFERROR(LEFT(Table4[[#This Row],[point_codes]],FIND(";",Table4[[#This Row],[point_codes]])-1),Table4[[#This Row],[point_codes]])</f>
        <v>0</v>
      </c>
      <c r="Q14" t="str">
        <f>IF(ISBLANK(Table4[[#This Row],[point_codes]]), "", LEN(Table4[[#This Row],[point_codes]])-LEN(SUBSTITUTE(Table4[[#This Row],[point_codes]],";",""))+1)</f>
        <v/>
      </c>
      <c r="R14" t="s">
        <v>742</v>
      </c>
      <c r="T14" t="s">
        <v>736</v>
      </c>
      <c r="U14" s="3">
        <f>Table4[[#This Row],[time_out]]-Table4[[#This Row],[time_in]]</f>
        <v>0</v>
      </c>
      <c r="W14" s="7" t="s">
        <v>331</v>
      </c>
      <c r="X14" s="6">
        <v>0</v>
      </c>
      <c r="Y14" s="8" t="str">
        <f>_xlfn.TEXTJOIN("-",FALSE, point_codes[[#This Row],[room]:[point]])</f>
        <v>B-0</v>
      </c>
      <c r="Z14" s="8" t="s">
        <v>659</v>
      </c>
    </row>
    <row r="15" spans="1:28" x14ac:dyDescent="0.3">
      <c r="A15" s="5">
        <v>46367</v>
      </c>
      <c r="B15" s="3">
        <v>0.4597222222222222</v>
      </c>
      <c r="C15" s="3">
        <v>0.46111111111111114</v>
      </c>
      <c r="D15" t="s">
        <v>15</v>
      </c>
      <c r="E15" t="s">
        <v>16</v>
      </c>
      <c r="F15" t="str">
        <f>LEFT(Table4[[#This Row],[direction]],1)</f>
        <v>b</v>
      </c>
      <c r="G15" t="s">
        <v>646</v>
      </c>
      <c r="H15" t="s">
        <v>134</v>
      </c>
      <c r="I15" t="s">
        <v>743</v>
      </c>
      <c r="J15" s="14" t="b">
        <v>0</v>
      </c>
      <c r="L15" t="str">
        <f>IFERROR(LEFT(Table4[[#This Row],[route_codes]],FIND(";",Table4[[#This Row],[route_codes]])-1),Table4[[#This Row],[route_codes]])</f>
        <v>A-d</v>
      </c>
      <c r="M15" t="s">
        <v>707</v>
      </c>
      <c r="O15" t="str">
        <f>IFERROR(LEFT(Table4[[#This Row],[point_codes]],FIND(";",Table4[[#This Row],[point_codes]])-1),Table4[[#This Row],[point_codes]])</f>
        <v>B-7</v>
      </c>
      <c r="P15" t="s">
        <v>745</v>
      </c>
      <c r="Q15">
        <f>IF(ISBLANK(Table4[[#This Row],[point_codes]]), "", LEN(Table4[[#This Row],[point_codes]])-LEN(SUBSTITUTE(Table4[[#This Row],[point_codes]],";",""))+1)</f>
        <v>3</v>
      </c>
      <c r="T15" t="s">
        <v>734</v>
      </c>
      <c r="U15" s="3">
        <f>Table4[[#This Row],[time_out]]-Table4[[#This Row],[time_in]]</f>
        <v>1.3888888888889395E-3</v>
      </c>
      <c r="W15" s="7" t="s">
        <v>331</v>
      </c>
      <c r="X15" s="6">
        <v>1</v>
      </c>
      <c r="Y15" s="8" t="str">
        <f>_xlfn.TEXTJOIN("-",FALSE, point_codes[[#This Row],[room]:[point]])</f>
        <v>B-1</v>
      </c>
      <c r="Z15" s="8" t="s">
        <v>680</v>
      </c>
    </row>
    <row r="16" spans="1:28" x14ac:dyDescent="0.3">
      <c r="A16" s="5">
        <v>46367</v>
      </c>
      <c r="B16" s="3">
        <v>0.4597222222222222</v>
      </c>
      <c r="C16" s="3">
        <v>0.46388888888888891</v>
      </c>
      <c r="D16" t="s">
        <v>15</v>
      </c>
      <c r="E16" t="s">
        <v>16</v>
      </c>
      <c r="F16" t="str">
        <f>LEFT(Table4[[#This Row],[direction]],1)</f>
        <v>b</v>
      </c>
      <c r="G16" t="s">
        <v>646</v>
      </c>
      <c r="H16" t="s">
        <v>643</v>
      </c>
      <c r="I16" t="s">
        <v>741</v>
      </c>
      <c r="J16" s="14" t="b">
        <v>0</v>
      </c>
      <c r="L16" t="str">
        <f>IFERROR(LEFT(Table4[[#This Row],[route_codes]],FIND(";",Table4[[#This Row],[route_codes]])-1),Table4[[#This Row],[route_codes]])</f>
        <v>A-c</v>
      </c>
      <c r="M16" t="s">
        <v>713</v>
      </c>
      <c r="O16" t="str">
        <f>IFERROR(LEFT(Table4[[#This Row],[point_codes]],FIND(";",Table4[[#This Row],[point_codes]])-1),Table4[[#This Row],[point_codes]])</f>
        <v>A-7</v>
      </c>
      <c r="P16" t="s">
        <v>746</v>
      </c>
      <c r="Q16">
        <f>IF(ISBLANK(Table4[[#This Row],[point_codes]]), "", LEN(Table4[[#This Row],[point_codes]])-LEN(SUBSTITUTE(Table4[[#This Row],[point_codes]],";",""))+1)</f>
        <v>3</v>
      </c>
      <c r="T16" t="s">
        <v>734</v>
      </c>
      <c r="U16" s="3">
        <f>Table4[[#This Row],[time_out]]-Table4[[#This Row],[time_in]]</f>
        <v>4.1666666666667074E-3</v>
      </c>
      <c r="W16" s="7" t="s">
        <v>331</v>
      </c>
      <c r="X16" s="6">
        <v>2</v>
      </c>
      <c r="Y16" s="8" t="str">
        <f>_xlfn.TEXTJOIN("-",FALSE, point_codes[[#This Row],[room]:[point]])</f>
        <v>B-2</v>
      </c>
      <c r="Z16" s="8" t="s">
        <v>682</v>
      </c>
    </row>
    <row r="17" spans="1:28" x14ac:dyDescent="0.3">
      <c r="A17" s="5">
        <v>46367</v>
      </c>
      <c r="B17" s="3">
        <v>0.46180555555555558</v>
      </c>
      <c r="C17" s="3">
        <v>0.46458333333333335</v>
      </c>
      <c r="D17" t="s">
        <v>15</v>
      </c>
      <c r="E17" t="s">
        <v>16</v>
      </c>
      <c r="F17" t="str">
        <f>LEFT(Table4[[#This Row],[direction]],1)</f>
        <v>b</v>
      </c>
      <c r="G17" t="s">
        <v>646</v>
      </c>
      <c r="H17" t="s">
        <v>490</v>
      </c>
      <c r="I17" t="s">
        <v>748</v>
      </c>
      <c r="J17" s="14" t="b">
        <v>0</v>
      </c>
      <c r="L17" t="str">
        <f>IFERROR(LEFT(Table4[[#This Row],[route_codes]],FIND(";",Table4[[#This Row],[route_codes]])-1),Table4[[#This Row],[route_codes]])</f>
        <v>A-d</v>
      </c>
      <c r="M17" t="s">
        <v>707</v>
      </c>
      <c r="O17" t="str">
        <f>IFERROR(LEFT(Table4[[#This Row],[point_codes]],FIND(";",Table4[[#This Row],[point_codes]])-1),Table4[[#This Row],[point_codes]])</f>
        <v>A-10</v>
      </c>
      <c r="P17" t="s">
        <v>749</v>
      </c>
      <c r="Q17">
        <f>IF(ISBLANK(Table4[[#This Row],[point_codes]]), "", LEN(Table4[[#This Row],[point_codes]])-LEN(SUBSTITUTE(Table4[[#This Row],[point_codes]],";",""))+1)</f>
        <v>4</v>
      </c>
      <c r="T17" t="s">
        <v>734</v>
      </c>
      <c r="U17" s="3">
        <f>Table4[[#This Row],[time_out]]-Table4[[#This Row],[time_in]]</f>
        <v>2.7777777777777679E-3</v>
      </c>
      <c r="W17" s="7" t="s">
        <v>331</v>
      </c>
      <c r="X17" s="6">
        <v>3</v>
      </c>
      <c r="Y17" s="8" t="str">
        <f>_xlfn.TEXTJOIN("-",FALSE, point_codes[[#This Row],[room]:[point]])</f>
        <v>B-3</v>
      </c>
      <c r="Z17" s="8" t="s">
        <v>681</v>
      </c>
    </row>
    <row r="18" spans="1:28" x14ac:dyDescent="0.3">
      <c r="A18" s="5">
        <v>46369</v>
      </c>
      <c r="B18" s="3">
        <v>0.47986111111111113</v>
      </c>
      <c r="C18" s="3">
        <v>0.48472222222222222</v>
      </c>
      <c r="D18" t="s">
        <v>28</v>
      </c>
      <c r="E18" t="s">
        <v>16</v>
      </c>
      <c r="F18" t="str">
        <f>LEFT(Table4[[#This Row],[direction]],1)</f>
        <v>a</v>
      </c>
      <c r="G18" t="s">
        <v>642</v>
      </c>
      <c r="H18" t="s">
        <v>134</v>
      </c>
      <c r="I18" t="s">
        <v>750</v>
      </c>
      <c r="J18" s="14" t="b">
        <v>0</v>
      </c>
      <c r="L18" t="str">
        <f>IFERROR(LEFT(Table4[[#This Row],[route_codes]],FIND(";",Table4[[#This Row],[route_codes]])-1),Table4[[#This Row],[route_codes]])</f>
        <v>A-a</v>
      </c>
      <c r="M18" t="s">
        <v>753</v>
      </c>
      <c r="O18" t="str">
        <f>IFERROR(LEFT(Table4[[#This Row],[point_codes]],FIND(";",Table4[[#This Row],[point_codes]])-1),Table4[[#This Row],[point_codes]])</f>
        <v>A-1</v>
      </c>
      <c r="P18" t="s">
        <v>754</v>
      </c>
      <c r="Q18">
        <f>IF(ISBLANK(Table4[[#This Row],[point_codes]]), "", LEN(Table4[[#This Row],[point_codes]])-LEN(SUBSTITUTE(Table4[[#This Row],[point_codes]],";",""))+1)</f>
        <v>6</v>
      </c>
      <c r="R18" t="s">
        <v>751</v>
      </c>
      <c r="T18" t="s">
        <v>734</v>
      </c>
      <c r="U18" s="3">
        <f>Table4[[#This Row],[time_out]]-Table4[[#This Row],[time_in]]</f>
        <v>4.8611111111110938E-3</v>
      </c>
      <c r="W18" s="7" t="s">
        <v>331</v>
      </c>
      <c r="X18" s="6">
        <v>4</v>
      </c>
      <c r="Y18" s="8" t="str">
        <f>_xlfn.TEXTJOIN("-",FALSE, point_codes[[#This Row],[room]:[point]])</f>
        <v>B-4</v>
      </c>
      <c r="Z18" s="8" t="s">
        <v>683</v>
      </c>
    </row>
    <row r="19" spans="1:28" x14ac:dyDescent="0.3">
      <c r="A19" s="5">
        <v>46369</v>
      </c>
      <c r="B19" s="3">
        <v>0.4465277777777778</v>
      </c>
      <c r="C19" s="3">
        <v>0.4465277777777778</v>
      </c>
      <c r="D19" t="s">
        <v>28</v>
      </c>
      <c r="E19" t="s">
        <v>331</v>
      </c>
      <c r="F19" t="str">
        <f>LEFT(Table4[[#This Row],[direction]],1)</f>
        <v>b</v>
      </c>
      <c r="G19" t="s">
        <v>646</v>
      </c>
      <c r="H19" t="s">
        <v>643</v>
      </c>
      <c r="I19" t="s">
        <v>741</v>
      </c>
      <c r="J19" s="14" t="b">
        <v>0</v>
      </c>
      <c r="L19" t="str">
        <f>IFERROR(LEFT(Table4[[#This Row],[route_codes]],FIND(";",Table4[[#This Row],[route_codes]])-1),Table4[[#This Row],[route_codes]])</f>
        <v>B-a</v>
      </c>
      <c r="M19" t="s">
        <v>755</v>
      </c>
      <c r="O19">
        <f>IFERROR(LEFT(Table4[[#This Row],[point_codes]],FIND(";",Table4[[#This Row],[point_codes]])-1),Table4[[#This Row],[point_codes]])</f>
        <v>0</v>
      </c>
      <c r="Q19" t="str">
        <f>IF(ISBLANK(Table4[[#This Row],[point_codes]]), "", LEN(Table4[[#This Row],[point_codes]])-LEN(SUBSTITUTE(Table4[[#This Row],[point_codes]],";",""))+1)</f>
        <v/>
      </c>
      <c r="R19" t="s">
        <v>756</v>
      </c>
      <c r="T19" t="s">
        <v>736</v>
      </c>
      <c r="U19" s="3">
        <f>Table4[[#This Row],[time_out]]-Table4[[#This Row],[time_in]]</f>
        <v>0</v>
      </c>
      <c r="W19" s="7" t="s">
        <v>331</v>
      </c>
      <c r="X19" s="6">
        <v>5</v>
      </c>
      <c r="Y19" s="8" t="str">
        <f>_xlfn.TEXTJOIN("-",FALSE, point_codes[[#This Row],[room]:[point]])</f>
        <v>B-5</v>
      </c>
      <c r="Z19" s="8" t="s">
        <v>684</v>
      </c>
    </row>
    <row r="20" spans="1:28" x14ac:dyDescent="0.3">
      <c r="A20" s="5">
        <v>46367</v>
      </c>
      <c r="B20" s="3">
        <v>0.47222222222222221</v>
      </c>
      <c r="C20" s="3">
        <v>0.47361111111111109</v>
      </c>
      <c r="D20" t="s">
        <v>15</v>
      </c>
      <c r="E20" t="s">
        <v>331</v>
      </c>
      <c r="F20" t="str">
        <f>LEFT(Table4[[#This Row],[direction]],1)</f>
        <v>b</v>
      </c>
      <c r="G20" t="s">
        <v>646</v>
      </c>
      <c r="H20" t="s">
        <v>134</v>
      </c>
      <c r="I20" t="s">
        <v>757</v>
      </c>
      <c r="J20" s="14" t="b">
        <v>0</v>
      </c>
      <c r="L20" t="str">
        <f>IFERROR(LEFT(Table4[[#This Row],[route_codes]],FIND(";",Table4[[#This Row],[route_codes]])-1),Table4[[#This Row],[route_codes]])</f>
        <v>B-b</v>
      </c>
      <c r="M20" t="s">
        <v>758</v>
      </c>
      <c r="O20" t="str">
        <f>IFERROR(LEFT(Table4[[#This Row],[point_codes]],FIND(";",Table4[[#This Row],[point_codes]])-1),Table4[[#This Row],[point_codes]])</f>
        <v>B-4</v>
      </c>
      <c r="P20" t="s">
        <v>759</v>
      </c>
      <c r="Q20">
        <f>IF(ISBLANK(Table4[[#This Row],[point_codes]]), "", LEN(Table4[[#This Row],[point_codes]])-LEN(SUBSTITUTE(Table4[[#This Row],[point_codes]],";",""))+1)</f>
        <v>3</v>
      </c>
      <c r="T20" t="s">
        <v>734</v>
      </c>
      <c r="U20" s="3">
        <f>Table4[[#This Row],[time_out]]-Table4[[#This Row],[time_in]]</f>
        <v>1.388888888888884E-3</v>
      </c>
      <c r="W20" s="7" t="s">
        <v>331</v>
      </c>
      <c r="X20" s="6">
        <v>6</v>
      </c>
      <c r="Y20" s="8" t="str">
        <f>_xlfn.TEXTJOIN("-",FALSE, point_codes[[#This Row],[room]:[point]])</f>
        <v>B-6</v>
      </c>
      <c r="Z20" s="8" t="s">
        <v>685</v>
      </c>
    </row>
    <row r="21" spans="1:28" x14ac:dyDescent="0.3">
      <c r="A21" s="5">
        <v>46367</v>
      </c>
      <c r="B21" s="3">
        <v>0.4861111111111111</v>
      </c>
      <c r="C21" s="3">
        <v>0.48680555555555555</v>
      </c>
      <c r="D21" t="s">
        <v>15</v>
      </c>
      <c r="E21" t="s">
        <v>331</v>
      </c>
      <c r="F21" t="str">
        <f>LEFT(Table4[[#This Row],[direction]],1)</f>
        <v>b</v>
      </c>
      <c r="G21" t="s">
        <v>646</v>
      </c>
      <c r="H21" t="s">
        <v>134</v>
      </c>
      <c r="I21" t="s">
        <v>760</v>
      </c>
      <c r="J21" s="14" t="b">
        <v>0</v>
      </c>
      <c r="L21" t="str">
        <f>IFERROR(LEFT(Table4[[#This Row],[route_codes]],FIND(";",Table4[[#This Row],[route_codes]])-1),Table4[[#This Row],[route_codes]])</f>
        <v>B-b</v>
      </c>
      <c r="M21" t="s">
        <v>758</v>
      </c>
      <c r="O21" t="str">
        <f>IFERROR(LEFT(Table4[[#This Row],[point_codes]],FIND(";",Table4[[#This Row],[point_codes]])-1),Table4[[#This Row],[point_codes]])</f>
        <v>B-9</v>
      </c>
      <c r="P21" t="s">
        <v>761</v>
      </c>
      <c r="Q21">
        <f>IF(ISBLANK(Table4[[#This Row],[point_codes]]), "", LEN(Table4[[#This Row],[point_codes]])-LEN(SUBSTITUTE(Table4[[#This Row],[point_codes]],";",""))+1)</f>
        <v>1</v>
      </c>
      <c r="T21" t="s">
        <v>734</v>
      </c>
      <c r="U21" s="3">
        <f>Table4[[#This Row],[time_out]]-Table4[[#This Row],[time_in]]</f>
        <v>6.9444444444444198E-4</v>
      </c>
      <c r="W21" s="7" t="s">
        <v>331</v>
      </c>
      <c r="X21" s="6">
        <v>7</v>
      </c>
      <c r="Y21" s="8" t="str">
        <f>_xlfn.TEXTJOIN("-",FALSE, point_codes[[#This Row],[room]:[point]])</f>
        <v>B-7</v>
      </c>
      <c r="Z21" s="8" t="s">
        <v>686</v>
      </c>
    </row>
    <row r="22" spans="1:28" x14ac:dyDescent="0.3">
      <c r="A22" s="5">
        <v>46367</v>
      </c>
      <c r="B22" s="3">
        <v>0.4826388888888889</v>
      </c>
      <c r="C22" s="3">
        <v>0.48333333333333334</v>
      </c>
      <c r="D22" t="s">
        <v>15</v>
      </c>
      <c r="E22" t="s">
        <v>331</v>
      </c>
      <c r="F22" t="str">
        <f>LEFT(Table4[[#This Row],[direction]],1)</f>
        <v>a</v>
      </c>
      <c r="G22" t="s">
        <v>768</v>
      </c>
      <c r="H22" t="s">
        <v>643</v>
      </c>
      <c r="I22" t="s">
        <v>762</v>
      </c>
      <c r="J22" s="14" t="b">
        <v>0</v>
      </c>
      <c r="L22" t="str">
        <f>IFERROR(LEFT(Table4[[#This Row],[route_codes]],FIND(";",Table4[[#This Row],[route_codes]])-1),Table4[[#This Row],[route_codes]])</f>
        <v>B-d</v>
      </c>
      <c r="M22" t="s">
        <v>763</v>
      </c>
      <c r="O22" t="str">
        <f>IFERROR(LEFT(Table4[[#This Row],[point_codes]],FIND(";",Table4[[#This Row],[point_codes]])-1),Table4[[#This Row],[point_codes]])</f>
        <v>B-9</v>
      </c>
      <c r="P22" t="s">
        <v>761</v>
      </c>
      <c r="Q22">
        <f>IF(ISBLANK(Table4[[#This Row],[point_codes]]), "", LEN(Table4[[#This Row],[point_codes]])-LEN(SUBSTITUTE(Table4[[#This Row],[point_codes]],";",""))+1)</f>
        <v>1</v>
      </c>
      <c r="R22" t="s">
        <v>764</v>
      </c>
      <c r="T22" t="s">
        <v>734</v>
      </c>
      <c r="U22" s="3">
        <f>Table4[[#This Row],[time_out]]-Table4[[#This Row],[time_in]]</f>
        <v>6.9444444444444198E-4</v>
      </c>
      <c r="W22" s="7" t="s">
        <v>331</v>
      </c>
      <c r="X22" s="6">
        <v>8</v>
      </c>
      <c r="Y22" s="8" t="str">
        <f>_xlfn.TEXTJOIN("-",FALSE, point_codes[[#This Row],[room]:[point]])</f>
        <v>B-8</v>
      </c>
      <c r="Z22" s="8" t="s">
        <v>687</v>
      </c>
    </row>
    <row r="23" spans="1:28" x14ac:dyDescent="0.3">
      <c r="A23" s="5">
        <v>46367</v>
      </c>
      <c r="B23" s="3">
        <v>0.48055555555555557</v>
      </c>
      <c r="C23" s="3">
        <v>0.48125000000000001</v>
      </c>
      <c r="D23" t="s">
        <v>15</v>
      </c>
      <c r="E23" t="s">
        <v>331</v>
      </c>
      <c r="F23" t="str">
        <f>LEFT(Table4[[#This Row],[direction]],1)</f>
        <v>b</v>
      </c>
      <c r="G23" t="s">
        <v>646</v>
      </c>
      <c r="H23" t="s">
        <v>643</v>
      </c>
      <c r="I23" t="s">
        <v>741</v>
      </c>
      <c r="J23" s="14" t="b">
        <v>0</v>
      </c>
      <c r="L23" t="str">
        <f>IFERROR(LEFT(Table4[[#This Row],[route_codes]],FIND(";",Table4[[#This Row],[route_codes]])-1),Table4[[#This Row],[route_codes]])</f>
        <v>B-a</v>
      </c>
      <c r="M23" t="s">
        <v>755</v>
      </c>
      <c r="O23" t="str">
        <f>IFERROR(LEFT(Table4[[#This Row],[point_codes]],FIND(";",Table4[[#This Row],[point_codes]])-1),Table4[[#This Row],[point_codes]])</f>
        <v>B-5</v>
      </c>
      <c r="P23" t="s">
        <v>766</v>
      </c>
      <c r="Q23">
        <f>IF(ISBLANK(Table4[[#This Row],[point_codes]]), "", LEN(Table4[[#This Row],[point_codes]])-LEN(SUBSTITUTE(Table4[[#This Row],[point_codes]],";",""))+1)</f>
        <v>1</v>
      </c>
      <c r="T23" t="s">
        <v>736</v>
      </c>
      <c r="U23" s="3">
        <f>Table4[[#This Row],[time_out]]-Table4[[#This Row],[time_in]]</f>
        <v>6.9444444444444198E-4</v>
      </c>
      <c r="W23" s="7" t="s">
        <v>331</v>
      </c>
      <c r="X23" s="6">
        <v>9</v>
      </c>
      <c r="Y23" s="8" t="str">
        <f>_xlfn.TEXTJOIN("-",FALSE, point_codes[[#This Row],[room]:[point]])</f>
        <v>B-9</v>
      </c>
      <c r="Z23" s="8" t="s">
        <v>688</v>
      </c>
    </row>
    <row r="24" spans="1:28" x14ac:dyDescent="0.3">
      <c r="A24" s="5">
        <v>46367</v>
      </c>
      <c r="B24" s="3">
        <v>0.47986111111111113</v>
      </c>
      <c r="C24" s="3">
        <v>0.48055555555555557</v>
      </c>
      <c r="D24" t="s">
        <v>15</v>
      </c>
      <c r="E24" t="s">
        <v>331</v>
      </c>
      <c r="F24" t="str">
        <f>LEFT(Table4[[#This Row],[direction]],1)</f>
        <v>a</v>
      </c>
      <c r="G24" t="s">
        <v>642</v>
      </c>
      <c r="H24" t="s">
        <v>643</v>
      </c>
      <c r="I24" t="s">
        <v>741</v>
      </c>
      <c r="J24" s="14" t="b">
        <v>0</v>
      </c>
      <c r="L24" t="str">
        <f>IFERROR(LEFT(Table4[[#This Row],[route_codes]],FIND(";",Table4[[#This Row],[route_codes]])-1),Table4[[#This Row],[route_codes]])</f>
        <v>B-d</v>
      </c>
      <c r="M24" t="s">
        <v>765</v>
      </c>
      <c r="O24">
        <f>IFERROR(LEFT(Table4[[#This Row],[point_codes]],FIND(";",Table4[[#This Row],[point_codes]])-1),Table4[[#This Row],[point_codes]])</f>
        <v>0</v>
      </c>
      <c r="Q24" t="str">
        <f>IF(ISBLANK(Table4[[#This Row],[point_codes]]), "", LEN(Table4[[#This Row],[point_codes]])-LEN(SUBSTITUTE(Table4[[#This Row],[point_codes]],";",""))+1)</f>
        <v/>
      </c>
      <c r="T24" t="s">
        <v>734</v>
      </c>
      <c r="U24" s="3">
        <f>Table4[[#This Row],[time_out]]-Table4[[#This Row],[time_in]]</f>
        <v>6.9444444444444198E-4</v>
      </c>
      <c r="W24" s="7" t="s">
        <v>331</v>
      </c>
      <c r="X24" s="6">
        <v>10</v>
      </c>
      <c r="Y24" s="8" t="str">
        <f>_xlfn.TEXTJOIN("-",FALSE, point_codes[[#This Row],[room]:[point]])</f>
        <v>B-10</v>
      </c>
      <c r="Z24" s="8" t="s">
        <v>689</v>
      </c>
    </row>
    <row r="25" spans="1:28" x14ac:dyDescent="0.3">
      <c r="A25" s="5">
        <v>46367</v>
      </c>
      <c r="B25" s="3">
        <v>0.4777777777777778</v>
      </c>
      <c r="C25" s="3">
        <v>0.47847222222222224</v>
      </c>
      <c r="D25" t="s">
        <v>15</v>
      </c>
      <c r="E25" t="s">
        <v>331</v>
      </c>
      <c r="F25" t="str">
        <f>LEFT(Table4[[#This Row],[direction]],1)</f>
        <v>b</v>
      </c>
      <c r="G25" t="s">
        <v>646</v>
      </c>
      <c r="H25" t="s">
        <v>134</v>
      </c>
      <c r="I25" t="s">
        <v>767</v>
      </c>
      <c r="J25" s="14" t="b">
        <v>0</v>
      </c>
      <c r="L25" t="str">
        <f>IFERROR(LEFT(Table4[[#This Row],[route_codes]],FIND(";",Table4[[#This Row],[route_codes]])-1),Table4[[#This Row],[route_codes]])</f>
        <v>B-a</v>
      </c>
      <c r="M25" t="s">
        <v>755</v>
      </c>
      <c r="O25" t="str">
        <f>IFERROR(LEFT(Table4[[#This Row],[point_codes]],FIND(";",Table4[[#This Row],[point_codes]])-1),Table4[[#This Row],[point_codes]])</f>
        <v>B-7</v>
      </c>
      <c r="P25" t="s">
        <v>744</v>
      </c>
      <c r="Q25">
        <f>IF(ISBLANK(Table4[[#This Row],[point_codes]]), "", LEN(Table4[[#This Row],[point_codes]])-LEN(SUBSTITUTE(Table4[[#This Row],[point_codes]],";",""))+1)</f>
        <v>1</v>
      </c>
      <c r="T25" t="s">
        <v>734</v>
      </c>
      <c r="U25" s="3">
        <f>Table4[[#This Row],[time_out]]-Table4[[#This Row],[time_in]]</f>
        <v>6.9444444444444198E-4</v>
      </c>
      <c r="W25" s="7" t="s">
        <v>331</v>
      </c>
      <c r="X25" s="6">
        <v>11</v>
      </c>
      <c r="Y25" s="8" t="str">
        <f>_xlfn.TEXTJOIN("-",FALSE, point_codes[[#This Row],[room]:[point]])</f>
        <v>B-11</v>
      </c>
      <c r="Z25" s="8" t="s">
        <v>690</v>
      </c>
    </row>
    <row r="26" spans="1:28" x14ac:dyDescent="0.3">
      <c r="A26" s="5">
        <v>45973</v>
      </c>
      <c r="B26" s="3">
        <v>0.48402777777777778</v>
      </c>
      <c r="C26" s="3">
        <v>0.48541666666666666</v>
      </c>
      <c r="D26" t="s">
        <v>15</v>
      </c>
      <c r="E26" t="s">
        <v>16</v>
      </c>
      <c r="F26" t="str">
        <f>LEFT(Table4[[#This Row],[direction]],1)</f>
        <v>a</v>
      </c>
      <c r="G26" t="s">
        <v>642</v>
      </c>
      <c r="H26" t="s">
        <v>643</v>
      </c>
      <c r="I26" t="s">
        <v>19</v>
      </c>
      <c r="J26" s="14" t="s">
        <v>644</v>
      </c>
      <c r="K26" t="s">
        <v>21</v>
      </c>
      <c r="L26">
        <f>IFERROR(LEFT(Table4[[#This Row],[route_codes]],FIND(";",Table4[[#This Row],[route_codes]])-1),Table4[[#This Row],[route_codes]])</f>
        <v>0</v>
      </c>
      <c r="O26" t="str">
        <f>IFERROR(LEFT(Table4[[#This Row],[point_codes]],FIND(";",Table4[[#This Row],[point_codes]])-1),Table4[[#This Row],[point_codes]])</f>
        <v>B-7</v>
      </c>
      <c r="P26" t="s">
        <v>744</v>
      </c>
      <c r="Q26">
        <f>IF(ISBLANK(Table4[[#This Row],[point_codes]]), "", LEN(Table4[[#This Row],[point_codes]])-LEN(SUBSTITUTE(Table4[[#This Row],[point_codes]],";",""))+1)</f>
        <v>1</v>
      </c>
      <c r="R26" t="s">
        <v>22</v>
      </c>
      <c r="S26" t="s">
        <v>23</v>
      </c>
      <c r="T26" t="s">
        <v>734</v>
      </c>
      <c r="U26" s="3">
        <f>Table4[[#This Row],[time_out]]-Table4[[#This Row],[time_in]]</f>
        <v>1.388888888888884E-3</v>
      </c>
      <c r="W26" s="7" t="s">
        <v>331</v>
      </c>
      <c r="X26" s="6">
        <v>12</v>
      </c>
      <c r="Y26" s="8" t="str">
        <f>_xlfn.TEXTJOIN("-",FALSE, point_codes[[#This Row],[room]:[point]])</f>
        <v>B-12</v>
      </c>
      <c r="Z26" s="8" t="s">
        <v>691</v>
      </c>
    </row>
    <row r="27" spans="1:28" x14ac:dyDescent="0.3">
      <c r="A27" s="5">
        <v>45973</v>
      </c>
      <c r="B27" s="3">
        <v>0.44166666666666665</v>
      </c>
      <c r="C27" s="3">
        <v>0.44236111111111109</v>
      </c>
      <c r="D27" t="s">
        <v>15</v>
      </c>
      <c r="E27" t="s">
        <v>16</v>
      </c>
      <c r="F27" t="str">
        <f>LEFT(Table4[[#This Row],[direction]],1)</f>
        <v>a</v>
      </c>
      <c r="G27" t="s">
        <v>642</v>
      </c>
      <c r="H27" t="s">
        <v>490</v>
      </c>
      <c r="J27" s="14" t="s">
        <v>644</v>
      </c>
      <c r="K27" t="s">
        <v>25</v>
      </c>
      <c r="L27">
        <f>IFERROR(LEFT(Table4[[#This Row],[route_codes]],FIND(";",Table4[[#This Row],[route_codes]])-1),Table4[[#This Row],[route_codes]])</f>
        <v>0</v>
      </c>
      <c r="O27">
        <f>IFERROR(LEFT(Table4[[#This Row],[point_codes]],FIND(";",Table4[[#This Row],[point_codes]])-1),Table4[[#This Row],[point_codes]])</f>
        <v>0</v>
      </c>
      <c r="Q27" t="str">
        <f>IF(ISBLANK(Table4[[#This Row],[point_codes]]), "", LEN(Table4[[#This Row],[point_codes]])-LEN(SUBSTITUTE(Table4[[#This Row],[point_codes]],";",""))+1)</f>
        <v/>
      </c>
      <c r="R27" t="s">
        <v>26</v>
      </c>
      <c r="S27" t="s">
        <v>23</v>
      </c>
      <c r="T27" t="s">
        <v>736</v>
      </c>
      <c r="U27" s="3">
        <f>Table4[[#This Row],[time_out]]-Table4[[#This Row],[time_in]]</f>
        <v>6.9444444444444198E-4</v>
      </c>
      <c r="W27" s="11" t="s">
        <v>331</v>
      </c>
      <c r="X27" s="12">
        <v>13</v>
      </c>
      <c r="Y27" s="13" t="str">
        <f>_xlfn.TEXTJOIN("-",FALSE, point_codes[[#This Row],[room]:[point]])</f>
        <v>B-13</v>
      </c>
      <c r="Z27" s="13" t="s">
        <v>692</v>
      </c>
    </row>
    <row r="28" spans="1:28" x14ac:dyDescent="0.3">
      <c r="A28" s="5">
        <v>45981</v>
      </c>
      <c r="B28" s="3">
        <v>0.4597222222222222</v>
      </c>
      <c r="C28" s="3">
        <v>0.46041666666666664</v>
      </c>
      <c r="D28" t="s">
        <v>28</v>
      </c>
      <c r="E28" t="s">
        <v>16</v>
      </c>
      <c r="F28" t="str">
        <f>LEFT(Table4[[#This Row],[direction]],1)</f>
        <v>a</v>
      </c>
      <c r="G28" t="s">
        <v>642</v>
      </c>
      <c r="H28" t="s">
        <v>134</v>
      </c>
      <c r="I28" t="s">
        <v>30</v>
      </c>
      <c r="J28" s="14" t="s">
        <v>645</v>
      </c>
      <c r="K28" t="s">
        <v>32</v>
      </c>
      <c r="L28" t="str">
        <f>IFERROR(LEFT(Table4[[#This Row],[route_codes]],FIND(";",Table4[[#This Row],[route_codes]])-1),Table4[[#This Row],[route_codes]])</f>
        <v>A-b</v>
      </c>
      <c r="M28" t="s">
        <v>774</v>
      </c>
      <c r="O28" t="str">
        <f>IFERROR(LEFT(Table4[[#This Row],[point_codes]],FIND(";",Table4[[#This Row],[point_codes]])-1),Table4[[#This Row],[point_codes]])</f>
        <v>A-10</v>
      </c>
      <c r="P28" t="s">
        <v>775</v>
      </c>
      <c r="Q28">
        <f>IF(ISBLANK(Table4[[#This Row],[point_codes]]), "", LEN(Table4[[#This Row],[point_codes]])-LEN(SUBSTITUTE(Table4[[#This Row],[point_codes]],";",""))+1)</f>
        <v>1</v>
      </c>
      <c r="R28" t="s">
        <v>33</v>
      </c>
      <c r="S28" t="s">
        <v>34</v>
      </c>
      <c r="T28" t="s">
        <v>735</v>
      </c>
      <c r="U28" s="3">
        <f>Table4[[#This Row],[time_out]]-Table4[[#This Row],[time_in]]</f>
        <v>6.9444444444444198E-4</v>
      </c>
      <c r="W28" s="11"/>
      <c r="X28" s="12"/>
      <c r="Y28" s="13" t="s">
        <v>834</v>
      </c>
      <c r="Z28" s="13" t="s">
        <v>835</v>
      </c>
    </row>
    <row r="29" spans="1:28" x14ac:dyDescent="0.3">
      <c r="A29" s="5">
        <v>45981</v>
      </c>
      <c r="B29" s="3">
        <v>0.44930555555555557</v>
      </c>
      <c r="C29" s="3">
        <v>0.45</v>
      </c>
      <c r="D29" t="s">
        <v>28</v>
      </c>
      <c r="E29" t="s">
        <v>16</v>
      </c>
      <c r="F29" t="str">
        <f>LEFT(Table4[[#This Row],[direction]],1)</f>
        <v>b</v>
      </c>
      <c r="G29" t="s">
        <v>646</v>
      </c>
      <c r="H29" t="s">
        <v>134</v>
      </c>
      <c r="I29" t="s">
        <v>36</v>
      </c>
      <c r="J29" s="14" t="s">
        <v>645</v>
      </c>
      <c r="K29" t="s">
        <v>37</v>
      </c>
      <c r="L29">
        <f>IFERROR(LEFT(Table4[[#This Row],[route_codes]],FIND(";",Table4[[#This Row],[route_codes]])-1),Table4[[#This Row],[route_codes]])</f>
        <v>0</v>
      </c>
      <c r="O29">
        <f>IFERROR(LEFT(Table4[[#This Row],[point_codes]],FIND(";",Table4[[#This Row],[point_codes]])-1),Table4[[#This Row],[point_codes]])</f>
        <v>0</v>
      </c>
      <c r="Q29" t="str">
        <f>IF(ISBLANK(Table4[[#This Row],[point_codes]]), "", LEN(Table4[[#This Row],[point_codes]])-LEN(SUBSTITUTE(Table4[[#This Row],[point_codes]],";",""))+1)</f>
        <v/>
      </c>
      <c r="R29" t="s">
        <v>26</v>
      </c>
      <c r="S29" t="s">
        <v>38</v>
      </c>
      <c r="T29" t="s">
        <v>736</v>
      </c>
      <c r="U29" s="3">
        <f>Table4[[#This Row],[time_out]]-Table4[[#This Row],[time_in]]</f>
        <v>6.9444444444444198E-4</v>
      </c>
    </row>
    <row r="30" spans="1:28" x14ac:dyDescent="0.3">
      <c r="A30" s="5">
        <v>45981</v>
      </c>
      <c r="B30" s="3">
        <v>0.44861111111111113</v>
      </c>
      <c r="C30" s="3">
        <v>0.44930555555555557</v>
      </c>
      <c r="D30" t="s">
        <v>28</v>
      </c>
      <c r="E30" t="s">
        <v>16</v>
      </c>
      <c r="F30" t="str">
        <f>LEFT(Table4[[#This Row],[direction]],1)</f>
        <v>b</v>
      </c>
      <c r="G30" t="s">
        <v>646</v>
      </c>
      <c r="H30" t="s">
        <v>134</v>
      </c>
      <c r="I30" t="s">
        <v>40</v>
      </c>
      <c r="J30" s="14" t="s">
        <v>645</v>
      </c>
      <c r="K30" t="s">
        <v>37</v>
      </c>
      <c r="L30">
        <f>IFERROR(LEFT(Table4[[#This Row],[route_codes]],FIND(";",Table4[[#This Row],[route_codes]])-1),Table4[[#This Row],[route_codes]])</f>
        <v>0</v>
      </c>
      <c r="O30">
        <f>IFERROR(LEFT(Table4[[#This Row],[point_codes]],FIND(";",Table4[[#This Row],[point_codes]])-1),Table4[[#This Row],[point_codes]])</f>
        <v>0</v>
      </c>
      <c r="Q30" t="str">
        <f>IF(ISBLANK(Table4[[#This Row],[point_codes]]), "", LEN(Table4[[#This Row],[point_codes]])-LEN(SUBSTITUTE(Table4[[#This Row],[point_codes]],";",""))+1)</f>
        <v/>
      </c>
      <c r="R30" t="s">
        <v>26</v>
      </c>
      <c r="S30" t="s">
        <v>41</v>
      </c>
      <c r="T30" t="s">
        <v>736</v>
      </c>
      <c r="U30" s="3">
        <f>Table4[[#This Row],[time_out]]-Table4[[#This Row],[time_in]]</f>
        <v>6.9444444444444198E-4</v>
      </c>
      <c r="W30" t="s">
        <v>675</v>
      </c>
      <c r="X30" t="s">
        <v>693</v>
      </c>
      <c r="Y30" t="s">
        <v>678</v>
      </c>
      <c r="Z30" t="s">
        <v>697</v>
      </c>
      <c r="AA30" t="s">
        <v>698</v>
      </c>
      <c r="AB30" t="s">
        <v>699</v>
      </c>
    </row>
    <row r="31" spans="1:28" x14ac:dyDescent="0.3">
      <c r="A31" s="5">
        <v>45981</v>
      </c>
      <c r="B31" s="3">
        <v>0.46319444444444446</v>
      </c>
      <c r="C31" s="3">
        <v>0.47013888888888888</v>
      </c>
      <c r="D31" t="s">
        <v>28</v>
      </c>
      <c r="E31" t="s">
        <v>16</v>
      </c>
      <c r="F31" t="str">
        <f>LEFT(Table4[[#This Row],[direction]],1)</f>
        <v>b</v>
      </c>
      <c r="G31" t="s">
        <v>646</v>
      </c>
      <c r="H31" t="s">
        <v>134</v>
      </c>
      <c r="I31" t="s">
        <v>43</v>
      </c>
      <c r="J31" s="14" t="s">
        <v>645</v>
      </c>
      <c r="K31" t="s">
        <v>44</v>
      </c>
      <c r="L31" t="str">
        <f>IFERROR(LEFT(Table4[[#This Row],[route_codes]],FIND(";",Table4[[#This Row],[route_codes]])-1),Table4[[#This Row],[route_codes]])</f>
        <v>A-d</v>
      </c>
      <c r="M31" t="s">
        <v>705</v>
      </c>
      <c r="O31" t="str">
        <f>IFERROR(LEFT(Table4[[#This Row],[point_codes]],FIND(";",Table4[[#This Row],[point_codes]])-1),Table4[[#This Row],[point_codes]])</f>
        <v>A-10</v>
      </c>
      <c r="P31" t="s">
        <v>776</v>
      </c>
      <c r="Q31">
        <f>IF(ISBLANK(Table4[[#This Row],[point_codes]]), "", LEN(Table4[[#This Row],[point_codes]])-LEN(SUBSTITUTE(Table4[[#This Row],[point_codes]],";",""))+1)</f>
        <v>3</v>
      </c>
      <c r="R31" t="s">
        <v>45</v>
      </c>
      <c r="S31" t="s">
        <v>46</v>
      </c>
      <c r="T31" t="s">
        <v>734</v>
      </c>
      <c r="U31" s="3">
        <f>Table4[[#This Row],[time_out]]-Table4[[#This Row],[time_in]]</f>
        <v>6.9444444444444198E-3</v>
      </c>
      <c r="W31" t="s">
        <v>16</v>
      </c>
      <c r="X31" t="s">
        <v>649</v>
      </c>
      <c r="Y31" t="str">
        <f>_xlfn.TEXTJOIN("-",FALSE,route_codes[[#This Row],[room]:[route]])</f>
        <v>A-a</v>
      </c>
      <c r="Z31" t="s">
        <v>658</v>
      </c>
      <c r="AA31" t="s">
        <v>700</v>
      </c>
      <c r="AB31" t="s">
        <v>663</v>
      </c>
    </row>
    <row r="32" spans="1:28" x14ac:dyDescent="0.3">
      <c r="A32" s="5">
        <v>45966</v>
      </c>
      <c r="B32" s="3">
        <v>0.47222222222222221</v>
      </c>
      <c r="C32" s="3">
        <v>0.47291666666666665</v>
      </c>
      <c r="D32" t="s">
        <v>15</v>
      </c>
      <c r="E32" t="s">
        <v>16</v>
      </c>
      <c r="F32" t="str">
        <f>LEFT(Table4[[#This Row],[direction]],1)</f>
        <v>a</v>
      </c>
      <c r="G32" t="s">
        <v>642</v>
      </c>
      <c r="H32" t="s">
        <v>643</v>
      </c>
      <c r="I32" t="s">
        <v>47</v>
      </c>
      <c r="J32" s="14" t="s">
        <v>645</v>
      </c>
      <c r="K32" t="s">
        <v>48</v>
      </c>
      <c r="L32" t="str">
        <f>IFERROR(LEFT(Table4[[#This Row],[route_codes]],FIND(";",Table4[[#This Row],[route_codes]])-1),Table4[[#This Row],[route_codes]])</f>
        <v>A-a</v>
      </c>
      <c r="M32" t="s">
        <v>703</v>
      </c>
      <c r="O32" t="str">
        <f>IFERROR(LEFT(Table4[[#This Row],[point_codes]],FIND(";",Table4[[#This Row],[point_codes]])-1),Table4[[#This Row],[point_codes]])</f>
        <v>A-4</v>
      </c>
      <c r="P32" t="s">
        <v>777</v>
      </c>
      <c r="Q32">
        <f>IF(ISBLANK(Table4[[#This Row],[point_codes]]), "", LEN(Table4[[#This Row],[point_codes]])-LEN(SUBSTITUTE(Table4[[#This Row],[point_codes]],";",""))+1)</f>
        <v>1</v>
      </c>
      <c r="R32" t="s">
        <v>26</v>
      </c>
      <c r="S32" t="s">
        <v>23</v>
      </c>
      <c r="T32" t="s">
        <v>735</v>
      </c>
      <c r="U32" s="3">
        <f>Table4[[#This Row],[time_out]]-Table4[[#This Row],[time_in]]</f>
        <v>6.9444444444444198E-4</v>
      </c>
      <c r="W32" t="s">
        <v>16</v>
      </c>
      <c r="X32" t="s">
        <v>695</v>
      </c>
      <c r="Y32" t="str">
        <f>_xlfn.TEXTJOIN("-",FALSE,route_codes[[#This Row],[room]:[route]])</f>
        <v>A-b</v>
      </c>
      <c r="Z32" t="s">
        <v>658</v>
      </c>
      <c r="AA32" t="s">
        <v>700</v>
      </c>
      <c r="AB32" t="s">
        <v>660</v>
      </c>
    </row>
    <row r="33" spans="1:28" x14ac:dyDescent="0.3">
      <c r="A33" s="5">
        <v>45981</v>
      </c>
      <c r="B33" s="3">
        <v>0.48055555555555557</v>
      </c>
      <c r="C33" s="3">
        <v>0.48333333333333334</v>
      </c>
      <c r="D33" t="s">
        <v>28</v>
      </c>
      <c r="E33" t="s">
        <v>16</v>
      </c>
      <c r="F33" t="str">
        <f>LEFT(Table4[[#This Row],[direction]],1)</f>
        <v>a</v>
      </c>
      <c r="G33" t="s">
        <v>642</v>
      </c>
      <c r="H33" t="s">
        <v>643</v>
      </c>
      <c r="I33" t="s">
        <v>50</v>
      </c>
      <c r="J33" s="14" t="s">
        <v>645</v>
      </c>
      <c r="K33" t="s">
        <v>51</v>
      </c>
      <c r="L33" t="str">
        <f>IFERROR(LEFT(Table4[[#This Row],[route_codes]],FIND(";",Table4[[#This Row],[route_codes]])-1),Table4[[#This Row],[route_codes]])</f>
        <v>A-a</v>
      </c>
      <c r="M33" t="s">
        <v>703</v>
      </c>
      <c r="O33" t="str">
        <f>IFERROR(LEFT(Table4[[#This Row],[point_codes]],FIND(";",Table4[[#This Row],[point_codes]])-1),Table4[[#This Row],[point_codes]])</f>
        <v>A-1</v>
      </c>
      <c r="P33" t="s">
        <v>778</v>
      </c>
      <c r="Q33">
        <f>IF(ISBLANK(Table4[[#This Row],[point_codes]]), "", LEN(Table4[[#This Row],[point_codes]])-LEN(SUBSTITUTE(Table4[[#This Row],[point_codes]],";",""))+1)</f>
        <v>5</v>
      </c>
      <c r="R33" t="s">
        <v>52</v>
      </c>
      <c r="S33" t="s">
        <v>23</v>
      </c>
      <c r="T33" t="s">
        <v>734</v>
      </c>
      <c r="U33" s="3">
        <f>Table4[[#This Row],[time_out]]-Table4[[#This Row],[time_in]]</f>
        <v>2.7777777777777679E-3</v>
      </c>
      <c r="W33" t="s">
        <v>16</v>
      </c>
      <c r="X33" t="s">
        <v>674</v>
      </c>
      <c r="Y33" t="str">
        <f>_xlfn.TEXTJOIN("-",FALSE,route_codes[[#This Row],[room]:[route]])</f>
        <v>A-c</v>
      </c>
      <c r="Z33" t="s">
        <v>700</v>
      </c>
      <c r="AA33" t="s">
        <v>658</v>
      </c>
      <c r="AB33" t="s">
        <v>663</v>
      </c>
    </row>
    <row r="34" spans="1:28" x14ac:dyDescent="0.3">
      <c r="A34" s="5">
        <v>45981</v>
      </c>
      <c r="B34" s="3">
        <v>0.47152777777777777</v>
      </c>
      <c r="C34" s="3">
        <v>0.47430555555555554</v>
      </c>
      <c r="D34" t="s">
        <v>28</v>
      </c>
      <c r="E34" t="s">
        <v>16</v>
      </c>
      <c r="F34" t="str">
        <f>LEFT(Table4[[#This Row],[direction]],1)</f>
        <v>a</v>
      </c>
      <c r="G34" t="s">
        <v>642</v>
      </c>
      <c r="H34" t="s">
        <v>643</v>
      </c>
      <c r="I34" t="s">
        <v>54</v>
      </c>
      <c r="J34" s="14" t="s">
        <v>645</v>
      </c>
      <c r="K34" t="s">
        <v>55</v>
      </c>
      <c r="L34" t="str">
        <f>IFERROR(LEFT(Table4[[#This Row],[route_codes]],FIND(";",Table4[[#This Row],[route_codes]])-1),Table4[[#This Row],[route_codes]])</f>
        <v>A-b</v>
      </c>
      <c r="M34" t="s">
        <v>779</v>
      </c>
      <c r="O34" t="str">
        <f>IFERROR(LEFT(Table4[[#This Row],[point_codes]],FIND(";",Table4[[#This Row],[point_codes]])-1),Table4[[#This Row],[point_codes]])</f>
        <v>A-1</v>
      </c>
      <c r="P34" t="s">
        <v>780</v>
      </c>
      <c r="Q34">
        <f>IF(ISBLANK(Table4[[#This Row],[point_codes]]), "", LEN(Table4[[#This Row],[point_codes]])-LEN(SUBSTITUTE(Table4[[#This Row],[point_codes]],";",""))+1)</f>
        <v>9</v>
      </c>
      <c r="R34" t="s">
        <v>56</v>
      </c>
      <c r="S34" t="s">
        <v>57</v>
      </c>
      <c r="T34" t="s">
        <v>734</v>
      </c>
      <c r="U34" s="3">
        <f>Table4[[#This Row],[time_out]]-Table4[[#This Row],[time_in]]</f>
        <v>2.7777777777777679E-3</v>
      </c>
      <c r="W34" t="s">
        <v>16</v>
      </c>
      <c r="X34" t="s">
        <v>696</v>
      </c>
      <c r="Y34" t="str">
        <f>_xlfn.TEXTJOIN("-",FALSE,route_codes[[#This Row],[room]:[route]])</f>
        <v>A-d</v>
      </c>
      <c r="Z34" t="s">
        <v>700</v>
      </c>
      <c r="AA34" t="s">
        <v>658</v>
      </c>
      <c r="AB34" t="s">
        <v>660</v>
      </c>
    </row>
    <row r="35" spans="1:28" x14ac:dyDescent="0.3">
      <c r="A35" s="5">
        <v>45981</v>
      </c>
      <c r="B35" s="3">
        <v>0.47013888888888888</v>
      </c>
      <c r="C35" s="3">
        <v>0.47083333333333333</v>
      </c>
      <c r="D35" t="s">
        <v>28</v>
      </c>
      <c r="E35" t="s">
        <v>16</v>
      </c>
      <c r="F35" t="str">
        <f>LEFT(Table4[[#This Row],[direction]],1)</f>
        <v>a</v>
      </c>
      <c r="G35" t="s">
        <v>642</v>
      </c>
      <c r="H35" t="s">
        <v>134</v>
      </c>
      <c r="I35" t="s">
        <v>58</v>
      </c>
      <c r="J35" s="14" t="s">
        <v>645</v>
      </c>
      <c r="K35" t="s">
        <v>59</v>
      </c>
      <c r="L35" t="str">
        <f>IFERROR(LEFT(Table4[[#This Row],[route_codes]],FIND(";",Table4[[#This Row],[route_codes]])-1),Table4[[#This Row],[route_codes]])</f>
        <v>A-a</v>
      </c>
      <c r="M35" t="s">
        <v>703</v>
      </c>
      <c r="O35" t="str">
        <f>IFERROR(LEFT(Table4[[#This Row],[point_codes]],FIND(";",Table4[[#This Row],[point_codes]])-1),Table4[[#This Row],[point_codes]])</f>
        <v>A-6</v>
      </c>
      <c r="P35" t="s">
        <v>781</v>
      </c>
      <c r="Q35">
        <f>IF(ISBLANK(Table4[[#This Row],[point_codes]]), "", LEN(Table4[[#This Row],[point_codes]])-LEN(SUBSTITUTE(Table4[[#This Row],[point_codes]],";",""))+1)</f>
        <v>1</v>
      </c>
      <c r="R35" t="s">
        <v>60</v>
      </c>
      <c r="S35" t="s">
        <v>61</v>
      </c>
      <c r="T35" t="s">
        <v>734</v>
      </c>
      <c r="U35" s="3">
        <f>Table4[[#This Row],[time_out]]-Table4[[#This Row],[time_in]]</f>
        <v>6.9444444444444198E-4</v>
      </c>
      <c r="W35" t="s">
        <v>331</v>
      </c>
      <c r="X35" t="s">
        <v>649</v>
      </c>
      <c r="Y35" t="str">
        <f>_xlfn.TEXTJOIN("-",FALSE,route_codes[[#This Row],[room]:[route]])</f>
        <v>B-a</v>
      </c>
      <c r="Z35" t="s">
        <v>659</v>
      </c>
      <c r="AA35" t="s">
        <v>700</v>
      </c>
      <c r="AB35" t="s">
        <v>681</v>
      </c>
    </row>
    <row r="36" spans="1:28" x14ac:dyDescent="0.3">
      <c r="A36" s="5">
        <v>45981</v>
      </c>
      <c r="B36" s="3">
        <v>0.45833333333333331</v>
      </c>
      <c r="C36" s="3">
        <v>0.4597222222222222</v>
      </c>
      <c r="D36" t="s">
        <v>28</v>
      </c>
      <c r="E36" t="s">
        <v>16</v>
      </c>
      <c r="F36" t="str">
        <f>LEFT(Table4[[#This Row],[direction]],1)</f>
        <v>a</v>
      </c>
      <c r="G36" t="s">
        <v>642</v>
      </c>
      <c r="H36" t="s">
        <v>134</v>
      </c>
      <c r="I36" t="s">
        <v>62</v>
      </c>
      <c r="J36" s="14" t="s">
        <v>644</v>
      </c>
      <c r="K36" t="s">
        <v>63</v>
      </c>
      <c r="L36" t="str">
        <f>IFERROR(LEFT(Table4[[#This Row],[route_codes]],FIND(";",Table4[[#This Row],[route_codes]])-1),Table4[[#This Row],[route_codes]])</f>
        <v>A-a</v>
      </c>
      <c r="M36" t="s">
        <v>703</v>
      </c>
      <c r="O36">
        <f>IFERROR(LEFT(Table4[[#This Row],[point_codes]],FIND(";",Table4[[#This Row],[point_codes]])-1),Table4[[#This Row],[point_codes]])</f>
        <v>0</v>
      </c>
      <c r="Q36" t="str">
        <f>IF(ISBLANK(Table4[[#This Row],[point_codes]]), "", LEN(Table4[[#This Row],[point_codes]])-LEN(SUBSTITUTE(Table4[[#This Row],[point_codes]],";",""))+1)</f>
        <v/>
      </c>
      <c r="R36" t="s">
        <v>26</v>
      </c>
      <c r="S36" t="s">
        <v>64</v>
      </c>
      <c r="T36" t="s">
        <v>736</v>
      </c>
      <c r="U36" s="3">
        <f>Table4[[#This Row],[time_out]]-Table4[[#This Row],[time_in]]</f>
        <v>1.388888888888884E-3</v>
      </c>
      <c r="W36" t="s">
        <v>331</v>
      </c>
      <c r="X36" t="s">
        <v>695</v>
      </c>
      <c r="Y36" t="str">
        <f>_xlfn.TEXTJOIN("-",FALSE,route_codes[[#This Row],[room]:[route]])</f>
        <v>B-b</v>
      </c>
      <c r="Z36" t="s">
        <v>659</v>
      </c>
      <c r="AA36" t="s">
        <v>700</v>
      </c>
      <c r="AB36" t="s">
        <v>701</v>
      </c>
    </row>
    <row r="37" spans="1:28" x14ac:dyDescent="0.3">
      <c r="A37" s="5"/>
      <c r="B37" s="3">
        <v>0.59722222222222221</v>
      </c>
      <c r="C37" s="3">
        <v>0.59861111111111109</v>
      </c>
      <c r="E37" t="s">
        <v>16</v>
      </c>
      <c r="F37" t="str">
        <f>LEFT(Table4[[#This Row],[direction]],1)</f>
        <v>a</v>
      </c>
      <c r="G37" t="s">
        <v>642</v>
      </c>
      <c r="H37" t="s">
        <v>134</v>
      </c>
      <c r="J37" s="14" t="s">
        <v>645</v>
      </c>
      <c r="K37" t="s">
        <v>65</v>
      </c>
      <c r="L37" t="str">
        <f>IFERROR(LEFT(Table4[[#This Row],[route_codes]],FIND(";",Table4[[#This Row],[route_codes]])-1),Table4[[#This Row],[route_codes]])</f>
        <v>A-a</v>
      </c>
      <c r="M37" t="s">
        <v>782</v>
      </c>
      <c r="O37" t="str">
        <f>IFERROR(LEFT(Table4[[#This Row],[point_codes]],FIND(";",Table4[[#This Row],[point_codes]])-1),Table4[[#This Row],[point_codes]])</f>
        <v>A-5</v>
      </c>
      <c r="P37" t="s">
        <v>783</v>
      </c>
      <c r="Q37">
        <f>IF(ISBLANK(Table4[[#This Row],[point_codes]]), "", LEN(Table4[[#This Row],[point_codes]])-LEN(SUBSTITUTE(Table4[[#This Row],[point_codes]],";",""))+1)</f>
        <v>2</v>
      </c>
      <c r="R37" t="s">
        <v>66</v>
      </c>
      <c r="T37" t="s">
        <v>734</v>
      </c>
      <c r="U37" s="3">
        <f>Table4[[#This Row],[time_out]]-Table4[[#This Row],[time_in]]</f>
        <v>1.388888888888884E-3</v>
      </c>
      <c r="W37" t="s">
        <v>331</v>
      </c>
      <c r="X37" t="s">
        <v>674</v>
      </c>
      <c r="Y37" t="str">
        <f>_xlfn.TEXTJOIN("-",FALSE,route_codes[[#This Row],[room]:[route]])</f>
        <v>B-c</v>
      </c>
      <c r="Z37" t="s">
        <v>700</v>
      </c>
      <c r="AA37" t="s">
        <v>659</v>
      </c>
      <c r="AB37" t="s">
        <v>681</v>
      </c>
    </row>
    <row r="38" spans="1:28" x14ac:dyDescent="0.3">
      <c r="A38" s="5">
        <v>45973</v>
      </c>
      <c r="B38" s="3">
        <v>0.44097222222222221</v>
      </c>
      <c r="C38" s="3">
        <v>0.44236111111111109</v>
      </c>
      <c r="D38" t="s">
        <v>15</v>
      </c>
      <c r="E38" t="s">
        <v>16</v>
      </c>
      <c r="F38" t="str">
        <f>LEFT(Table4[[#This Row],[direction]],1)</f>
        <v>a</v>
      </c>
      <c r="G38" t="s">
        <v>642</v>
      </c>
      <c r="H38" t="s">
        <v>490</v>
      </c>
      <c r="I38" t="s">
        <v>67</v>
      </c>
      <c r="J38" s="14" t="s">
        <v>644</v>
      </c>
      <c r="K38" t="s">
        <v>68</v>
      </c>
      <c r="L38" t="str">
        <f>IFERROR(LEFT(Table4[[#This Row],[route_codes]],FIND(";",Table4[[#This Row],[route_codes]])-1),Table4[[#This Row],[route_codes]])</f>
        <v>A-a</v>
      </c>
      <c r="M38" t="s">
        <v>703</v>
      </c>
      <c r="O38" t="str">
        <f>IFERROR(LEFT(Table4[[#This Row],[point_codes]],FIND(";",Table4[[#This Row],[point_codes]])-1),Table4[[#This Row],[point_codes]])</f>
        <v>B-7</v>
      </c>
      <c r="P38" t="s">
        <v>744</v>
      </c>
      <c r="Q38">
        <f>IF(ISBLANK(Table4[[#This Row],[point_codes]]), "", LEN(Table4[[#This Row],[point_codes]])-LEN(SUBSTITUTE(Table4[[#This Row],[point_codes]],";",""))+1)</f>
        <v>1</v>
      </c>
      <c r="R38" t="s">
        <v>69</v>
      </c>
      <c r="T38" t="s">
        <v>734</v>
      </c>
      <c r="U38" s="3">
        <f>Table4[[#This Row],[time_out]]-Table4[[#This Row],[time_in]]</f>
        <v>1.388888888888884E-3</v>
      </c>
      <c r="W38" t="s">
        <v>331</v>
      </c>
      <c r="X38" t="s">
        <v>696</v>
      </c>
      <c r="Y38" t="str">
        <f>_xlfn.TEXTJOIN("-",FALSE,route_codes[[#This Row],[room]:[route]])</f>
        <v>B-d</v>
      </c>
      <c r="Z38" t="s">
        <v>700</v>
      </c>
      <c r="AA38" t="s">
        <v>659</v>
      </c>
      <c r="AB38" t="s">
        <v>701</v>
      </c>
    </row>
    <row r="39" spans="1:28" x14ac:dyDescent="0.3">
      <c r="A39" s="5">
        <v>45973</v>
      </c>
      <c r="B39" s="3">
        <v>0.4777777777777778</v>
      </c>
      <c r="C39" s="3">
        <v>0.47916666666666669</v>
      </c>
      <c r="D39" t="s">
        <v>15</v>
      </c>
      <c r="E39" t="s">
        <v>16</v>
      </c>
      <c r="F39" t="str">
        <f>LEFT(Table4[[#This Row],[direction]],1)</f>
        <v>b</v>
      </c>
      <c r="G39" t="s">
        <v>646</v>
      </c>
      <c r="H39" t="s">
        <v>643</v>
      </c>
      <c r="I39" t="s">
        <v>70</v>
      </c>
      <c r="J39" s="14" t="s">
        <v>645</v>
      </c>
      <c r="K39" t="s">
        <v>72</v>
      </c>
      <c r="L39" t="str">
        <f>IFERROR(LEFT(Table4[[#This Row],[route_codes]],FIND(";",Table4[[#This Row],[route_codes]])-1),Table4[[#This Row],[route_codes]])</f>
        <v>A-c</v>
      </c>
      <c r="M39" t="s">
        <v>713</v>
      </c>
      <c r="O39" t="str">
        <f>IFERROR(LEFT(Table4[[#This Row],[point_codes]],FIND(";",Table4[[#This Row],[point_codes]])-1),Table4[[#This Row],[point_codes]])</f>
        <v>B-7</v>
      </c>
      <c r="P39" t="s">
        <v>784</v>
      </c>
      <c r="Q39">
        <f>IF(ISBLANK(Table4[[#This Row],[point_codes]]), "", LEN(Table4[[#This Row],[point_codes]])-LEN(SUBSTITUTE(Table4[[#This Row],[point_codes]],";",""))+1)</f>
        <v>3</v>
      </c>
      <c r="R39" t="s">
        <v>73</v>
      </c>
      <c r="T39" t="s">
        <v>734</v>
      </c>
      <c r="U39" s="3">
        <f>Table4[[#This Row],[time_out]]-Table4[[#This Row],[time_in]]</f>
        <v>1.388888888888884E-3</v>
      </c>
    </row>
    <row r="40" spans="1:28" x14ac:dyDescent="0.3">
      <c r="A40" s="5">
        <v>45973</v>
      </c>
      <c r="B40" s="3">
        <v>0.47569444444444442</v>
      </c>
      <c r="C40" s="3">
        <v>0.47638888888888886</v>
      </c>
      <c r="D40" t="s">
        <v>15</v>
      </c>
      <c r="E40" t="s">
        <v>16</v>
      </c>
      <c r="F40" t="str">
        <f>LEFT(Table4[[#This Row],[direction]],1)</f>
        <v>b</v>
      </c>
      <c r="G40" t="s">
        <v>646</v>
      </c>
      <c r="H40" t="s">
        <v>490</v>
      </c>
      <c r="I40" t="s">
        <v>74</v>
      </c>
      <c r="J40" s="14" t="s">
        <v>645</v>
      </c>
      <c r="K40" t="s">
        <v>75</v>
      </c>
      <c r="L40">
        <f>IFERROR(LEFT(Table4[[#This Row],[route_codes]],FIND(";",Table4[[#This Row],[route_codes]])-1),Table4[[#This Row],[route_codes]])</f>
        <v>0</v>
      </c>
      <c r="O40">
        <f>IFERROR(LEFT(Table4[[#This Row],[point_codes]],FIND(";",Table4[[#This Row],[point_codes]])-1),Table4[[#This Row],[point_codes]])</f>
        <v>0</v>
      </c>
      <c r="Q40" t="str">
        <f>IF(ISBLANK(Table4[[#This Row],[point_codes]]), "", LEN(Table4[[#This Row],[point_codes]])-LEN(SUBSTITUTE(Table4[[#This Row],[point_codes]],";",""))+1)</f>
        <v/>
      </c>
      <c r="R40" t="s">
        <v>42</v>
      </c>
      <c r="T40" t="s">
        <v>736</v>
      </c>
      <c r="U40" s="3">
        <f>Table4[[#This Row],[time_out]]-Table4[[#This Row],[time_in]]</f>
        <v>6.9444444444444198E-4</v>
      </c>
      <c r="Y40" t="s">
        <v>678</v>
      </c>
      <c r="Z40" t="s">
        <v>694</v>
      </c>
    </row>
    <row r="41" spans="1:28" x14ac:dyDescent="0.3">
      <c r="A41" s="5">
        <v>45973</v>
      </c>
      <c r="B41" s="3">
        <v>0.43402777777777779</v>
      </c>
      <c r="C41" s="3">
        <v>0.43472222222222223</v>
      </c>
      <c r="D41" t="s">
        <v>15</v>
      </c>
      <c r="E41" t="s">
        <v>16</v>
      </c>
      <c r="F41" t="str">
        <f>LEFT(Table4[[#This Row],[direction]],1)</f>
        <v>b</v>
      </c>
      <c r="G41" t="s">
        <v>646</v>
      </c>
      <c r="H41" t="s">
        <v>490</v>
      </c>
      <c r="I41" t="s">
        <v>76</v>
      </c>
      <c r="J41" s="14" t="s">
        <v>645</v>
      </c>
      <c r="K41" t="s">
        <v>75</v>
      </c>
      <c r="L41">
        <f>IFERROR(LEFT(Table4[[#This Row],[route_codes]],FIND(";",Table4[[#This Row],[route_codes]])-1),Table4[[#This Row],[route_codes]])</f>
        <v>0</v>
      </c>
      <c r="O41">
        <f>IFERROR(LEFT(Table4[[#This Row],[point_codes]],FIND(";",Table4[[#This Row],[point_codes]])-1),Table4[[#This Row],[point_codes]])</f>
        <v>0</v>
      </c>
      <c r="Q41" t="str">
        <f>IF(ISBLANK(Table4[[#This Row],[point_codes]]), "", LEN(Table4[[#This Row],[point_codes]])-LEN(SUBSTITUTE(Table4[[#This Row],[point_codes]],";",""))+1)</f>
        <v/>
      </c>
      <c r="R41" t="s">
        <v>42</v>
      </c>
      <c r="S41" t="s">
        <v>77</v>
      </c>
      <c r="T41" t="s">
        <v>736</v>
      </c>
      <c r="U41" s="3">
        <f>Table4[[#This Row],[time_out]]-Table4[[#This Row],[time_in]]</f>
        <v>6.9444444444444198E-4</v>
      </c>
      <c r="Z41" t="s">
        <v>715</v>
      </c>
    </row>
    <row r="42" spans="1:28" x14ac:dyDescent="0.3">
      <c r="A42" s="5">
        <v>45973</v>
      </c>
      <c r="B42" s="3">
        <v>0.4375</v>
      </c>
      <c r="C42" s="3">
        <v>0.43819444444444444</v>
      </c>
      <c r="D42" t="s">
        <v>15</v>
      </c>
      <c r="E42" t="s">
        <v>16</v>
      </c>
      <c r="F42" t="str">
        <f>LEFT(Table4[[#This Row],[direction]],1)</f>
        <v>b</v>
      </c>
      <c r="G42" t="s">
        <v>646</v>
      </c>
      <c r="H42" t="s">
        <v>134</v>
      </c>
      <c r="I42" t="s">
        <v>78</v>
      </c>
      <c r="J42" s="14" t="s">
        <v>645</v>
      </c>
      <c r="K42" t="s">
        <v>75</v>
      </c>
      <c r="L42">
        <f>IFERROR(LEFT(Table4[[#This Row],[route_codes]],FIND(";",Table4[[#This Row],[route_codes]])-1),Table4[[#This Row],[route_codes]])</f>
        <v>0</v>
      </c>
      <c r="O42">
        <f>IFERROR(LEFT(Table4[[#This Row],[point_codes]],FIND(";",Table4[[#This Row],[point_codes]])-1),Table4[[#This Row],[point_codes]])</f>
        <v>0</v>
      </c>
      <c r="Q42" t="str">
        <f>IF(ISBLANK(Table4[[#This Row],[point_codes]]), "", LEN(Table4[[#This Row],[point_codes]])-LEN(SUBSTITUTE(Table4[[#This Row],[point_codes]],";",""))+1)</f>
        <v/>
      </c>
      <c r="R42" t="s">
        <v>42</v>
      </c>
      <c r="T42" t="s">
        <v>736</v>
      </c>
      <c r="U42" s="3">
        <f>Table4[[#This Row],[time_out]]-Table4[[#This Row],[time_in]]</f>
        <v>6.9444444444444198E-4</v>
      </c>
      <c r="Z42" t="s">
        <v>716</v>
      </c>
    </row>
    <row r="43" spans="1:28" x14ac:dyDescent="0.3">
      <c r="A43" s="5">
        <v>45973</v>
      </c>
      <c r="B43" s="3">
        <v>0.43819444444444444</v>
      </c>
      <c r="C43" s="3">
        <v>0.43888888888888888</v>
      </c>
      <c r="D43" t="s">
        <v>15</v>
      </c>
      <c r="E43" t="s">
        <v>16</v>
      </c>
      <c r="F43" t="str">
        <f>LEFT(Table4[[#This Row],[direction]],1)</f>
        <v>b</v>
      </c>
      <c r="G43" t="s">
        <v>646</v>
      </c>
      <c r="H43" t="s">
        <v>643</v>
      </c>
      <c r="I43" t="s">
        <v>79</v>
      </c>
      <c r="J43" s="14" t="b">
        <v>0</v>
      </c>
      <c r="K43" t="s">
        <v>75</v>
      </c>
      <c r="L43">
        <f>IFERROR(LEFT(Table4[[#This Row],[route_codes]],FIND(";",Table4[[#This Row],[route_codes]])-1),Table4[[#This Row],[route_codes]])</f>
        <v>0</v>
      </c>
      <c r="O43">
        <f>IFERROR(LEFT(Table4[[#This Row],[point_codes]],FIND(";",Table4[[#This Row],[point_codes]])-1),Table4[[#This Row],[point_codes]])</f>
        <v>0</v>
      </c>
      <c r="Q43" t="str">
        <f>IF(ISBLANK(Table4[[#This Row],[point_codes]]), "", LEN(Table4[[#This Row],[point_codes]])-LEN(SUBSTITUTE(Table4[[#This Row],[point_codes]],";",""))+1)</f>
        <v/>
      </c>
      <c r="R43" t="s">
        <v>42</v>
      </c>
      <c r="T43" t="s">
        <v>736</v>
      </c>
      <c r="U43" s="3">
        <f>Table4[[#This Row],[time_out]]-Table4[[#This Row],[time_in]]</f>
        <v>6.9444444444444198E-4</v>
      </c>
      <c r="Z43" t="s">
        <v>717</v>
      </c>
    </row>
    <row r="44" spans="1:28" x14ac:dyDescent="0.3">
      <c r="A44" s="5">
        <v>45973</v>
      </c>
      <c r="B44" s="3">
        <v>0.43888888888888888</v>
      </c>
      <c r="C44" s="3">
        <v>0.43958333333333333</v>
      </c>
      <c r="D44" t="s">
        <v>15</v>
      </c>
      <c r="E44" t="s">
        <v>16</v>
      </c>
      <c r="F44" t="str">
        <f>LEFT(Table4[[#This Row],[direction]],1)</f>
        <v>b</v>
      </c>
      <c r="G44" t="s">
        <v>646</v>
      </c>
      <c r="H44" t="s">
        <v>490</v>
      </c>
      <c r="I44" t="s">
        <v>80</v>
      </c>
      <c r="J44" s="14" t="b">
        <v>0</v>
      </c>
      <c r="K44" t="s">
        <v>75</v>
      </c>
      <c r="L44">
        <f>IFERROR(LEFT(Table4[[#This Row],[route_codes]],FIND(";",Table4[[#This Row],[route_codes]])-1),Table4[[#This Row],[route_codes]])</f>
        <v>0</v>
      </c>
      <c r="O44">
        <f>IFERROR(LEFT(Table4[[#This Row],[point_codes]],FIND(";",Table4[[#This Row],[point_codes]])-1),Table4[[#This Row],[point_codes]])</f>
        <v>0</v>
      </c>
      <c r="Q44" t="str">
        <f>IF(ISBLANK(Table4[[#This Row],[point_codes]]), "", LEN(Table4[[#This Row],[point_codes]])-LEN(SUBSTITUTE(Table4[[#This Row],[point_codes]],";",""))+1)</f>
        <v/>
      </c>
      <c r="R44" t="s">
        <v>42</v>
      </c>
      <c r="T44" t="s">
        <v>736</v>
      </c>
      <c r="U44" s="3">
        <f>Table4[[#This Row],[time_out]]-Table4[[#This Row],[time_in]]</f>
        <v>6.9444444444444198E-4</v>
      </c>
      <c r="Z44" t="s">
        <v>718</v>
      </c>
    </row>
    <row r="45" spans="1:28" x14ac:dyDescent="0.3">
      <c r="A45" s="5">
        <v>45973</v>
      </c>
      <c r="B45" s="3">
        <v>0.43888888888888888</v>
      </c>
      <c r="C45" s="3">
        <v>0.43958333333333333</v>
      </c>
      <c r="D45" t="s">
        <v>15</v>
      </c>
      <c r="E45" t="s">
        <v>16</v>
      </c>
      <c r="F45" t="str">
        <f>LEFT(Table4[[#This Row],[direction]],1)</f>
        <v>b</v>
      </c>
      <c r="G45" t="s">
        <v>646</v>
      </c>
      <c r="H45" t="s">
        <v>490</v>
      </c>
      <c r="I45" t="s">
        <v>81</v>
      </c>
      <c r="J45" s="14" t="b">
        <v>0</v>
      </c>
      <c r="K45" t="s">
        <v>75</v>
      </c>
      <c r="L45">
        <f>IFERROR(LEFT(Table4[[#This Row],[route_codes]],FIND(";",Table4[[#This Row],[route_codes]])-1),Table4[[#This Row],[route_codes]])</f>
        <v>0</v>
      </c>
      <c r="O45">
        <f>IFERROR(LEFT(Table4[[#This Row],[point_codes]],FIND(";",Table4[[#This Row],[point_codes]])-1),Table4[[#This Row],[point_codes]])</f>
        <v>0</v>
      </c>
      <c r="Q45" t="str">
        <f>IF(ISBLANK(Table4[[#This Row],[point_codes]]), "", LEN(Table4[[#This Row],[point_codes]])-LEN(SUBSTITUTE(Table4[[#This Row],[point_codes]],";",""))+1)</f>
        <v/>
      </c>
      <c r="R45" t="s">
        <v>42</v>
      </c>
      <c r="T45" t="s">
        <v>736</v>
      </c>
      <c r="U45" s="3">
        <f>Table4[[#This Row],[time_out]]-Table4[[#This Row],[time_in]]</f>
        <v>6.9444444444444198E-4</v>
      </c>
    </row>
    <row r="46" spans="1:28" x14ac:dyDescent="0.3">
      <c r="A46" s="5">
        <v>45973</v>
      </c>
      <c r="B46" s="3">
        <v>0.43958333333333333</v>
      </c>
      <c r="C46" s="3">
        <v>0.44097222222222221</v>
      </c>
      <c r="D46" t="s">
        <v>15</v>
      </c>
      <c r="E46" t="s">
        <v>16</v>
      </c>
      <c r="F46" t="str">
        <f>LEFT(Table4[[#This Row],[direction]],1)</f>
        <v>b</v>
      </c>
      <c r="G46" t="s">
        <v>646</v>
      </c>
      <c r="H46" t="s">
        <v>643</v>
      </c>
      <c r="I46" t="s">
        <v>82</v>
      </c>
      <c r="J46" s="14" t="b">
        <v>0</v>
      </c>
      <c r="K46" t="s">
        <v>83</v>
      </c>
      <c r="L46" t="str">
        <f>IFERROR(LEFT(Table4[[#This Row],[route_codes]],FIND(";",Table4[[#This Row],[route_codes]])-1),Table4[[#This Row],[route_codes]])</f>
        <v>A-d</v>
      </c>
      <c r="M46" t="s">
        <v>705</v>
      </c>
      <c r="O46" t="str">
        <f>IFERROR(LEFT(Table4[[#This Row],[point_codes]],FIND(";",Table4[[#This Row],[point_codes]])-1),Table4[[#This Row],[point_codes]])</f>
        <v>A-3</v>
      </c>
      <c r="P46" t="s">
        <v>785</v>
      </c>
      <c r="Q46">
        <f>IF(ISBLANK(Table4[[#This Row],[point_codes]]), "", LEN(Table4[[#This Row],[point_codes]])-LEN(SUBSTITUTE(Table4[[#This Row],[point_codes]],";",""))+1)</f>
        <v>2</v>
      </c>
      <c r="R46" t="s">
        <v>84</v>
      </c>
      <c r="T46" t="s">
        <v>734</v>
      </c>
      <c r="U46" s="3">
        <f>Table4[[#This Row],[time_out]]-Table4[[#This Row],[time_in]]</f>
        <v>1.388888888888884E-3</v>
      </c>
    </row>
    <row r="47" spans="1:28" x14ac:dyDescent="0.3">
      <c r="A47" s="5">
        <v>45973</v>
      </c>
      <c r="B47" s="3">
        <v>0.44097222222222221</v>
      </c>
      <c r="C47" s="3">
        <v>0.44166666666666665</v>
      </c>
      <c r="D47" t="s">
        <v>15</v>
      </c>
      <c r="E47" t="s">
        <v>16</v>
      </c>
      <c r="F47" t="str">
        <f>LEFT(Table4[[#This Row],[direction]],1)</f>
        <v>b</v>
      </c>
      <c r="G47" t="s">
        <v>646</v>
      </c>
      <c r="H47" t="s">
        <v>490</v>
      </c>
      <c r="I47" t="s">
        <v>85</v>
      </c>
      <c r="J47" s="14" t="b">
        <v>0</v>
      </c>
      <c r="K47" t="s">
        <v>86</v>
      </c>
      <c r="L47" t="str">
        <f>IFERROR(LEFT(Table4[[#This Row],[route_codes]],FIND(";",Table4[[#This Row],[route_codes]])-1),Table4[[#This Row],[route_codes]])</f>
        <v>A-c</v>
      </c>
      <c r="M47" t="s">
        <v>713</v>
      </c>
      <c r="O47" t="str">
        <f>IFERROR(LEFT(Table4[[#This Row],[point_codes]],FIND(";",Table4[[#This Row],[point_codes]])-1),Table4[[#This Row],[point_codes]])</f>
        <v>A-7</v>
      </c>
      <c r="P47" t="s">
        <v>786</v>
      </c>
      <c r="Q47">
        <f>IF(ISBLANK(Table4[[#This Row],[point_codes]]), "", LEN(Table4[[#This Row],[point_codes]])-LEN(SUBSTITUTE(Table4[[#This Row],[point_codes]],";",""))+1)</f>
        <v>1</v>
      </c>
      <c r="R47" t="s">
        <v>87</v>
      </c>
      <c r="T47" t="s">
        <v>734</v>
      </c>
      <c r="U47" s="3">
        <f>Table4[[#This Row],[time_out]]-Table4[[#This Row],[time_in]]</f>
        <v>6.9444444444444198E-4</v>
      </c>
    </row>
    <row r="48" spans="1:28" x14ac:dyDescent="0.3">
      <c r="A48" s="5">
        <v>45973</v>
      </c>
      <c r="B48" s="3">
        <v>0.47361111111111109</v>
      </c>
      <c r="C48" s="3">
        <v>0.47430555555555554</v>
      </c>
      <c r="D48" t="s">
        <v>15</v>
      </c>
      <c r="E48" t="s">
        <v>16</v>
      </c>
      <c r="F48" t="str">
        <f>LEFT(Table4[[#This Row],[direction]],1)</f>
        <v>a</v>
      </c>
      <c r="G48" t="s">
        <v>642</v>
      </c>
      <c r="H48" t="s">
        <v>134</v>
      </c>
      <c r="I48" t="s">
        <v>88</v>
      </c>
      <c r="J48" s="14" t="b">
        <v>0</v>
      </c>
      <c r="K48" t="s">
        <v>89</v>
      </c>
      <c r="L48" t="str">
        <f>IFERROR(LEFT(Table4[[#This Row],[route_codes]],FIND(";",Table4[[#This Row],[route_codes]])-1),Table4[[#This Row],[route_codes]])</f>
        <v>A-b</v>
      </c>
      <c r="M48" t="s">
        <v>774</v>
      </c>
      <c r="O48" t="str">
        <f>IFERROR(LEFT(Table4[[#This Row],[point_codes]],FIND(";",Table4[[#This Row],[point_codes]])-1),Table4[[#This Row],[point_codes]])</f>
        <v>A-8</v>
      </c>
      <c r="P48" t="s">
        <v>787</v>
      </c>
      <c r="Q48">
        <f>IF(ISBLANK(Table4[[#This Row],[point_codes]]), "", LEN(Table4[[#This Row],[point_codes]])-LEN(SUBSTITUTE(Table4[[#This Row],[point_codes]],";",""))+1)</f>
        <v>1</v>
      </c>
      <c r="T48" t="s">
        <v>735</v>
      </c>
      <c r="U48" s="3">
        <f>Table4[[#This Row],[time_out]]-Table4[[#This Row],[time_in]]</f>
        <v>6.9444444444444198E-4</v>
      </c>
    </row>
    <row r="49" spans="1:21" x14ac:dyDescent="0.3">
      <c r="A49" s="5">
        <v>45966</v>
      </c>
      <c r="B49" s="3">
        <v>0.51249999999999996</v>
      </c>
      <c r="C49" s="3">
        <v>0.51666666666666672</v>
      </c>
      <c r="D49" t="s">
        <v>15</v>
      </c>
      <c r="E49" t="s">
        <v>16</v>
      </c>
      <c r="F49" t="str">
        <f>LEFT(Table4[[#This Row],[direction]],1)</f>
        <v>b</v>
      </c>
      <c r="G49" t="s">
        <v>646</v>
      </c>
      <c r="H49" t="s">
        <v>134</v>
      </c>
      <c r="I49" t="s">
        <v>90</v>
      </c>
      <c r="J49" s="14" t="s">
        <v>645</v>
      </c>
      <c r="K49" t="s">
        <v>91</v>
      </c>
      <c r="L49" t="str">
        <f>IFERROR(LEFT(Table4[[#This Row],[route_codes]],FIND(";",Table4[[#This Row],[route_codes]])-1),Table4[[#This Row],[route_codes]])</f>
        <v>A-d</v>
      </c>
      <c r="M49" t="s">
        <v>707</v>
      </c>
      <c r="O49" t="str">
        <f>IFERROR(LEFT(Table4[[#This Row],[point_codes]],FIND(";",Table4[[#This Row],[point_codes]])-1),Table4[[#This Row],[point_codes]])</f>
        <v>A-10</v>
      </c>
      <c r="P49" t="s">
        <v>788</v>
      </c>
      <c r="Q49">
        <f>IF(ISBLANK(Table4[[#This Row],[point_codes]]), "", LEN(Table4[[#This Row],[point_codes]])-LEN(SUBSTITUTE(Table4[[#This Row],[point_codes]],";",""))+1)</f>
        <v>4</v>
      </c>
      <c r="R49" t="s">
        <v>92</v>
      </c>
      <c r="T49" t="s">
        <v>734</v>
      </c>
      <c r="U49" s="3">
        <f>Table4[[#This Row],[time_out]]-Table4[[#This Row],[time_in]]</f>
        <v>4.1666666666667629E-3</v>
      </c>
    </row>
    <row r="50" spans="1:21" x14ac:dyDescent="0.3">
      <c r="A50" s="5">
        <v>45966</v>
      </c>
      <c r="B50" s="3">
        <v>0.50416666666666665</v>
      </c>
      <c r="C50" s="3">
        <v>0.50555555555555554</v>
      </c>
      <c r="D50" t="s">
        <v>15</v>
      </c>
      <c r="E50" t="s">
        <v>16</v>
      </c>
      <c r="F50" t="str">
        <f>LEFT(Table4[[#This Row],[direction]],1)</f>
        <v>b</v>
      </c>
      <c r="G50" t="s">
        <v>646</v>
      </c>
      <c r="H50" t="s">
        <v>134</v>
      </c>
      <c r="I50" t="s">
        <v>93</v>
      </c>
      <c r="J50" s="14" t="s">
        <v>645</v>
      </c>
      <c r="K50" t="s">
        <v>94</v>
      </c>
      <c r="L50" t="str">
        <f>IFERROR(LEFT(Table4[[#This Row],[route_codes]],FIND(";",Table4[[#This Row],[route_codes]])-1),Table4[[#This Row],[route_codes]])</f>
        <v>A-d</v>
      </c>
      <c r="M50" t="s">
        <v>707</v>
      </c>
      <c r="O50" t="str">
        <f>IFERROR(LEFT(Table4[[#This Row],[point_codes]],FIND(";",Table4[[#This Row],[point_codes]])-1),Table4[[#This Row],[point_codes]])</f>
        <v>A-10</v>
      </c>
      <c r="P50" t="s">
        <v>789</v>
      </c>
      <c r="Q50">
        <f>IF(ISBLANK(Table4[[#This Row],[point_codes]]), "", LEN(Table4[[#This Row],[point_codes]])-LEN(SUBSTITUTE(Table4[[#This Row],[point_codes]],";",""))+1)</f>
        <v>3</v>
      </c>
      <c r="T50" t="s">
        <v>734</v>
      </c>
      <c r="U50" s="3">
        <f>Table4[[#This Row],[time_out]]-Table4[[#This Row],[time_in]]</f>
        <v>1.388888888888884E-3</v>
      </c>
    </row>
    <row r="51" spans="1:21" x14ac:dyDescent="0.3">
      <c r="A51" s="5">
        <v>45966</v>
      </c>
      <c r="B51" s="3">
        <v>0.47916666666666669</v>
      </c>
      <c r="C51" s="3">
        <v>0.47986111111111113</v>
      </c>
      <c r="D51" t="s">
        <v>15</v>
      </c>
      <c r="E51" t="s">
        <v>16</v>
      </c>
      <c r="F51" t="str">
        <f>LEFT(Table4[[#This Row],[direction]],1)</f>
        <v>b</v>
      </c>
      <c r="G51" t="s">
        <v>646</v>
      </c>
      <c r="H51" t="s">
        <v>643</v>
      </c>
      <c r="I51" t="s">
        <v>95</v>
      </c>
      <c r="J51" s="14" t="s">
        <v>645</v>
      </c>
      <c r="K51" t="s">
        <v>96</v>
      </c>
      <c r="L51">
        <f>IFERROR(LEFT(Table4[[#This Row],[route_codes]],FIND(";",Table4[[#This Row],[route_codes]])-1),Table4[[#This Row],[route_codes]])</f>
        <v>0</v>
      </c>
      <c r="O51">
        <f>IFERROR(LEFT(Table4[[#This Row],[point_codes]],FIND(";",Table4[[#This Row],[point_codes]])-1),Table4[[#This Row],[point_codes]])</f>
        <v>0</v>
      </c>
      <c r="Q51" t="str">
        <f>IF(ISBLANK(Table4[[#This Row],[point_codes]]), "", LEN(Table4[[#This Row],[point_codes]])-LEN(SUBSTITUTE(Table4[[#This Row],[point_codes]],";",""))+1)</f>
        <v/>
      </c>
      <c r="R51" t="s">
        <v>97</v>
      </c>
      <c r="S51" t="s">
        <v>98</v>
      </c>
      <c r="T51" t="s">
        <v>736</v>
      </c>
      <c r="U51" s="3">
        <f>Table4[[#This Row],[time_out]]-Table4[[#This Row],[time_in]]</f>
        <v>6.9444444444444198E-4</v>
      </c>
    </row>
    <row r="52" spans="1:21" x14ac:dyDescent="0.3">
      <c r="A52" s="5">
        <v>45980</v>
      </c>
      <c r="B52" s="3">
        <v>0.58680555555555558</v>
      </c>
      <c r="C52" s="3">
        <v>0.58958333333333335</v>
      </c>
      <c r="D52" t="s">
        <v>15</v>
      </c>
      <c r="E52" t="s">
        <v>16</v>
      </c>
      <c r="F52" t="str">
        <f>LEFT(Table4[[#This Row],[direction]],1)</f>
        <v>b</v>
      </c>
      <c r="G52" t="s">
        <v>646</v>
      </c>
      <c r="H52" t="s">
        <v>490</v>
      </c>
      <c r="I52" t="s">
        <v>99</v>
      </c>
      <c r="J52" s="14" t="s">
        <v>645</v>
      </c>
      <c r="K52" t="s">
        <v>100</v>
      </c>
      <c r="L52" t="str">
        <f>IFERROR(LEFT(Table4[[#This Row],[route_codes]],FIND(";",Table4[[#This Row],[route_codes]])-1),Table4[[#This Row],[route_codes]])</f>
        <v>A-c</v>
      </c>
      <c r="M52" t="s">
        <v>713</v>
      </c>
      <c r="O52" t="str">
        <f>IFERROR(LEFT(Table4[[#This Row],[point_codes]],FIND(";",Table4[[#This Row],[point_codes]])-1),Table4[[#This Row],[point_codes]])</f>
        <v>A-9</v>
      </c>
      <c r="P52" t="s">
        <v>790</v>
      </c>
      <c r="Q52">
        <f>IF(ISBLANK(Table4[[#This Row],[point_codes]]), "", LEN(Table4[[#This Row],[point_codes]])-LEN(SUBSTITUTE(Table4[[#This Row],[point_codes]],";",""))+1)</f>
        <v>4</v>
      </c>
      <c r="R52" t="s">
        <v>101</v>
      </c>
      <c r="T52" t="s">
        <v>734</v>
      </c>
      <c r="U52" s="3">
        <f>Table4[[#This Row],[time_out]]-Table4[[#This Row],[time_in]]</f>
        <v>2.7777777777777679E-3</v>
      </c>
    </row>
    <row r="53" spans="1:21" x14ac:dyDescent="0.3">
      <c r="A53" s="5">
        <v>45980</v>
      </c>
      <c r="B53" s="3">
        <v>0.61597222222222225</v>
      </c>
      <c r="C53" s="3">
        <v>0.62083333333333335</v>
      </c>
      <c r="D53" t="s">
        <v>15</v>
      </c>
      <c r="E53" t="s">
        <v>16</v>
      </c>
      <c r="F53" t="str">
        <f>LEFT(Table4[[#This Row],[direction]],1)</f>
        <v>a</v>
      </c>
      <c r="G53" t="s">
        <v>642</v>
      </c>
      <c r="H53" t="s">
        <v>643</v>
      </c>
      <c r="I53" t="s">
        <v>47</v>
      </c>
      <c r="J53" s="14" t="s">
        <v>645</v>
      </c>
      <c r="K53" t="s">
        <v>103</v>
      </c>
      <c r="L53" t="str">
        <f>IFERROR(LEFT(Table4[[#This Row],[route_codes]],FIND(";",Table4[[#This Row],[route_codes]])-1),Table4[[#This Row],[route_codes]])</f>
        <v>A-b</v>
      </c>
      <c r="M53" t="s">
        <v>774</v>
      </c>
      <c r="O53" t="str">
        <f>IFERROR(LEFT(Table4[[#This Row],[point_codes]],FIND(";",Table4[[#This Row],[point_codes]])-1),Table4[[#This Row],[point_codes]])</f>
        <v>A-4</v>
      </c>
      <c r="P53" t="s">
        <v>792</v>
      </c>
      <c r="Q53">
        <f>IF(ISBLANK(Table4[[#This Row],[point_codes]]), "", LEN(Table4[[#This Row],[point_codes]])-LEN(SUBSTITUTE(Table4[[#This Row],[point_codes]],";",""))+1)</f>
        <v>4</v>
      </c>
      <c r="R53" t="s">
        <v>791</v>
      </c>
      <c r="T53" t="s">
        <v>734</v>
      </c>
      <c r="U53" s="3">
        <f>Table4[[#This Row],[time_out]]-Table4[[#This Row],[time_in]]</f>
        <v>4.8611111111110938E-3</v>
      </c>
    </row>
    <row r="54" spans="1:21" x14ac:dyDescent="0.3">
      <c r="A54" s="5">
        <v>45980</v>
      </c>
      <c r="B54" s="3">
        <v>0.59027777777777779</v>
      </c>
      <c r="C54" s="3">
        <v>0.59305555555555556</v>
      </c>
      <c r="D54" t="s">
        <v>15</v>
      </c>
      <c r="E54" t="s">
        <v>16</v>
      </c>
      <c r="F54" t="str">
        <f>LEFT(Table4[[#This Row],[direction]],1)</f>
        <v>b</v>
      </c>
      <c r="G54" t="s">
        <v>646</v>
      </c>
      <c r="H54" t="s">
        <v>643</v>
      </c>
      <c r="I54" t="s">
        <v>47</v>
      </c>
      <c r="J54" s="14" t="s">
        <v>645</v>
      </c>
      <c r="K54" t="s">
        <v>105</v>
      </c>
      <c r="L54" t="str">
        <f>IFERROR(LEFT(Table4[[#This Row],[route_codes]],FIND(";",Table4[[#This Row],[route_codes]])-1),Table4[[#This Row],[route_codes]])</f>
        <v>A-d</v>
      </c>
      <c r="M54" t="s">
        <v>739</v>
      </c>
      <c r="O54" t="str">
        <f>IFERROR(LEFT(Table4[[#This Row],[point_codes]],FIND(";",Table4[[#This Row],[point_codes]])-1),Table4[[#This Row],[point_codes]])</f>
        <v>A-10</v>
      </c>
      <c r="P54" t="s">
        <v>775</v>
      </c>
      <c r="Q54">
        <f>IF(ISBLANK(Table4[[#This Row],[point_codes]]), "", LEN(Table4[[#This Row],[point_codes]])-LEN(SUBSTITUTE(Table4[[#This Row],[point_codes]],";",""))+1)</f>
        <v>1</v>
      </c>
      <c r="R54" t="s">
        <v>106</v>
      </c>
      <c r="T54" t="s">
        <v>734</v>
      </c>
      <c r="U54" s="3">
        <f>Table4[[#This Row],[time_out]]-Table4[[#This Row],[time_in]]</f>
        <v>2.7777777777777679E-3</v>
      </c>
    </row>
    <row r="55" spans="1:21" x14ac:dyDescent="0.3">
      <c r="A55" s="5">
        <v>45973</v>
      </c>
      <c r="B55" s="3">
        <v>0.45</v>
      </c>
      <c r="C55" s="3">
        <v>0.4513888888888889</v>
      </c>
      <c r="D55" t="s">
        <v>15</v>
      </c>
      <c r="E55" t="s">
        <v>16</v>
      </c>
      <c r="F55" t="str">
        <f>LEFT(Table4[[#This Row],[direction]],1)</f>
        <v>a</v>
      </c>
      <c r="G55" t="s">
        <v>642</v>
      </c>
      <c r="H55" t="s">
        <v>490</v>
      </c>
      <c r="I55" t="s">
        <v>107</v>
      </c>
      <c r="J55" s="14" t="s">
        <v>312</v>
      </c>
      <c r="K55" t="s">
        <v>108</v>
      </c>
      <c r="L55" t="str">
        <f>IFERROR(LEFT(Table4[[#This Row],[route_codes]],FIND(";",Table4[[#This Row],[route_codes]])-1),Table4[[#This Row],[route_codes]])</f>
        <v>A-a</v>
      </c>
      <c r="M55" t="s">
        <v>703</v>
      </c>
      <c r="O55" t="str">
        <f>IFERROR(LEFT(Table4[[#This Row],[point_codes]],FIND(";",Table4[[#This Row],[point_codes]])-1),Table4[[#This Row],[point_codes]])</f>
        <v>A-6</v>
      </c>
      <c r="P55" t="s">
        <v>781</v>
      </c>
      <c r="Q55">
        <f>IF(ISBLANK(Table4[[#This Row],[point_codes]]), "", LEN(Table4[[#This Row],[point_codes]])-LEN(SUBSTITUTE(Table4[[#This Row],[point_codes]],";",""))+1)</f>
        <v>1</v>
      </c>
      <c r="R55" t="s">
        <v>109</v>
      </c>
      <c r="T55" t="s">
        <v>734</v>
      </c>
      <c r="U55" s="3">
        <f>Table4[[#This Row],[time_out]]-Table4[[#This Row],[time_in]]</f>
        <v>1.388888888888884E-3</v>
      </c>
    </row>
    <row r="56" spans="1:21" x14ac:dyDescent="0.3">
      <c r="A56" s="5">
        <v>45973</v>
      </c>
      <c r="B56" s="3">
        <v>0.44861111111111113</v>
      </c>
      <c r="C56" s="3">
        <v>0.44930555555555557</v>
      </c>
      <c r="D56" t="s">
        <v>15</v>
      </c>
      <c r="E56" t="s">
        <v>16</v>
      </c>
      <c r="F56" t="str">
        <f>LEFT(Table4[[#This Row],[direction]],1)</f>
        <v>a</v>
      </c>
      <c r="G56" t="s">
        <v>642</v>
      </c>
      <c r="H56" t="s">
        <v>490</v>
      </c>
      <c r="I56" t="s">
        <v>110</v>
      </c>
      <c r="J56" s="14" t="s">
        <v>645</v>
      </c>
      <c r="K56" t="s">
        <v>111</v>
      </c>
      <c r="L56" t="str">
        <f>IFERROR(LEFT(Table4[[#This Row],[route_codes]],FIND(";",Table4[[#This Row],[route_codes]])-1),Table4[[#This Row],[route_codes]])</f>
        <v>A-b</v>
      </c>
      <c r="M56" t="s">
        <v>774</v>
      </c>
      <c r="O56" t="str">
        <f>IFERROR(LEFT(Table4[[#This Row],[point_codes]],FIND(";",Table4[[#This Row],[point_codes]])-1),Table4[[#This Row],[point_codes]])</f>
        <v>A-10</v>
      </c>
      <c r="P56" t="s">
        <v>775</v>
      </c>
      <c r="Q56">
        <f>IF(ISBLANK(Table4[[#This Row],[point_codes]]), "", LEN(Table4[[#This Row],[point_codes]])-LEN(SUBSTITUTE(Table4[[#This Row],[point_codes]],";",""))+1)</f>
        <v>1</v>
      </c>
      <c r="R56" t="s">
        <v>112</v>
      </c>
      <c r="T56" t="s">
        <v>734</v>
      </c>
      <c r="U56" s="3">
        <f>Table4[[#This Row],[time_out]]-Table4[[#This Row],[time_in]]</f>
        <v>6.9444444444444198E-4</v>
      </c>
    </row>
    <row r="57" spans="1:21" x14ac:dyDescent="0.3">
      <c r="A57" s="5">
        <v>45973</v>
      </c>
      <c r="B57" s="3">
        <v>0.4861111111111111</v>
      </c>
      <c r="C57" s="3">
        <v>0.48749999999999999</v>
      </c>
      <c r="D57" t="s">
        <v>15</v>
      </c>
      <c r="E57" t="s">
        <v>16</v>
      </c>
      <c r="F57" t="str">
        <f>LEFT(Table4[[#This Row],[direction]],1)</f>
        <v>a</v>
      </c>
      <c r="G57" t="s">
        <v>642</v>
      </c>
      <c r="H57" t="s">
        <v>643</v>
      </c>
      <c r="I57" t="s">
        <v>113</v>
      </c>
      <c r="J57" s="14" t="s">
        <v>645</v>
      </c>
      <c r="K57" t="s">
        <v>114</v>
      </c>
      <c r="L57" t="str">
        <f>IFERROR(LEFT(Table4[[#This Row],[route_codes]],FIND(";",Table4[[#This Row],[route_codes]])-1),Table4[[#This Row],[route_codes]])</f>
        <v>A-a</v>
      </c>
      <c r="M57" t="s">
        <v>753</v>
      </c>
      <c r="O57" t="str">
        <f>IFERROR(LEFT(Table4[[#This Row],[point_codes]],FIND(";",Table4[[#This Row],[point_codes]])-1),Table4[[#This Row],[point_codes]])</f>
        <v>A-5</v>
      </c>
      <c r="P57" t="s">
        <v>793</v>
      </c>
      <c r="Q57">
        <f>IF(ISBLANK(Table4[[#This Row],[point_codes]]), "", LEN(Table4[[#This Row],[point_codes]])-LEN(SUBSTITUTE(Table4[[#This Row],[point_codes]],";",""))+1)</f>
        <v>2</v>
      </c>
      <c r="R57" t="s">
        <v>114</v>
      </c>
      <c r="T57" t="s">
        <v>734</v>
      </c>
      <c r="U57" s="3">
        <f>Table4[[#This Row],[time_out]]-Table4[[#This Row],[time_in]]</f>
        <v>1.388888888888884E-3</v>
      </c>
    </row>
    <row r="58" spans="1:21" x14ac:dyDescent="0.3">
      <c r="A58" s="5">
        <v>45968</v>
      </c>
      <c r="B58" s="3">
        <v>0.45555555555555555</v>
      </c>
      <c r="C58" s="3">
        <v>0.45624999999999999</v>
      </c>
      <c r="D58" t="s">
        <v>115</v>
      </c>
      <c r="E58" t="s">
        <v>16</v>
      </c>
      <c r="F58" t="str">
        <f>LEFT(Table4[[#This Row],[direction]],1)</f>
        <v>a</v>
      </c>
      <c r="G58" t="s">
        <v>642</v>
      </c>
      <c r="H58" t="s">
        <v>134</v>
      </c>
      <c r="I58" t="s">
        <v>116</v>
      </c>
      <c r="J58" s="14" t="s">
        <v>644</v>
      </c>
      <c r="K58" t="s">
        <v>117</v>
      </c>
      <c r="L58">
        <f>IFERROR(LEFT(Table4[[#This Row],[route_codes]],FIND(";",Table4[[#This Row],[route_codes]])-1),Table4[[#This Row],[route_codes]])</f>
        <v>0</v>
      </c>
      <c r="O58">
        <f>IFERROR(LEFT(Table4[[#This Row],[point_codes]],FIND(";",Table4[[#This Row],[point_codes]])-1),Table4[[#This Row],[point_codes]])</f>
        <v>0</v>
      </c>
      <c r="Q58" t="str">
        <f>IF(ISBLANK(Table4[[#This Row],[point_codes]]), "", LEN(Table4[[#This Row],[point_codes]])-LEN(SUBSTITUTE(Table4[[#This Row],[point_codes]],";",""))+1)</f>
        <v/>
      </c>
      <c r="R58" t="s">
        <v>118</v>
      </c>
      <c r="T58" t="s">
        <v>736</v>
      </c>
      <c r="U58" s="3">
        <f>Table4[[#This Row],[time_out]]-Table4[[#This Row],[time_in]]</f>
        <v>6.9444444444444198E-4</v>
      </c>
    </row>
    <row r="59" spans="1:21" x14ac:dyDescent="0.3">
      <c r="A59" s="5">
        <v>45980</v>
      </c>
      <c r="B59" s="3">
        <v>0.61458333333333337</v>
      </c>
      <c r="C59" s="3">
        <v>0.62152777777777779</v>
      </c>
      <c r="D59" t="s">
        <v>15</v>
      </c>
      <c r="E59" t="s">
        <v>16</v>
      </c>
      <c r="F59" t="str">
        <f>LEFT(Table4[[#This Row],[direction]],1)</f>
        <v>b</v>
      </c>
      <c r="G59" t="s">
        <v>646</v>
      </c>
      <c r="H59" t="s">
        <v>643</v>
      </c>
      <c r="I59" t="s">
        <v>40</v>
      </c>
      <c r="J59" s="14" t="s">
        <v>645</v>
      </c>
      <c r="K59" t="s">
        <v>119</v>
      </c>
      <c r="L59" t="str">
        <f>IFERROR(LEFT(Table4[[#This Row],[route_codes]],FIND(";",Table4[[#This Row],[route_codes]])-1),Table4[[#This Row],[route_codes]])</f>
        <v>A-c</v>
      </c>
      <c r="M59" t="s">
        <v>713</v>
      </c>
      <c r="O59" t="str">
        <f>IFERROR(LEFT(Table4[[#This Row],[point_codes]],FIND(";",Table4[[#This Row],[point_codes]])-1),Table4[[#This Row],[point_codes]])</f>
        <v>A-7</v>
      </c>
      <c r="P59" t="s">
        <v>794</v>
      </c>
      <c r="Q59">
        <f>IF(ISBLANK(Table4[[#This Row],[point_codes]]), "", LEN(Table4[[#This Row],[point_codes]])-LEN(SUBSTITUTE(Table4[[#This Row],[point_codes]],";",""))+1)</f>
        <v>4</v>
      </c>
      <c r="R59" t="s">
        <v>119</v>
      </c>
      <c r="S59" t="s">
        <v>120</v>
      </c>
      <c r="T59" t="s">
        <v>734</v>
      </c>
      <c r="U59" s="3">
        <f>Table4[[#This Row],[time_out]]-Table4[[#This Row],[time_in]]</f>
        <v>6.9444444444444198E-3</v>
      </c>
    </row>
    <row r="60" spans="1:21" x14ac:dyDescent="0.3">
      <c r="A60" s="5">
        <v>45980</v>
      </c>
      <c r="B60" s="3">
        <v>0.59097222222222223</v>
      </c>
      <c r="C60" s="3">
        <v>0.59166666666666667</v>
      </c>
      <c r="D60" t="s">
        <v>15</v>
      </c>
      <c r="E60" t="s">
        <v>16</v>
      </c>
      <c r="F60" t="str">
        <f>LEFT(Table4[[#This Row],[direction]],1)</f>
        <v>b</v>
      </c>
      <c r="G60" t="s">
        <v>646</v>
      </c>
      <c r="H60" t="s">
        <v>643</v>
      </c>
      <c r="I60" t="s">
        <v>82</v>
      </c>
      <c r="J60" s="14" t="s">
        <v>645</v>
      </c>
      <c r="K60" t="s">
        <v>121</v>
      </c>
      <c r="L60">
        <f>IFERROR(LEFT(Table4[[#This Row],[route_codes]],FIND(";",Table4[[#This Row],[route_codes]])-1),Table4[[#This Row],[route_codes]])</f>
        <v>0</v>
      </c>
      <c r="O60">
        <f>IFERROR(LEFT(Table4[[#This Row],[point_codes]],FIND(";",Table4[[#This Row],[point_codes]])-1),Table4[[#This Row],[point_codes]])</f>
        <v>0</v>
      </c>
      <c r="Q60" t="str">
        <f>IF(ISBLANK(Table4[[#This Row],[point_codes]]), "", LEN(Table4[[#This Row],[point_codes]])-LEN(SUBSTITUTE(Table4[[#This Row],[point_codes]],";",""))+1)</f>
        <v/>
      </c>
      <c r="R60" t="s">
        <v>122</v>
      </c>
      <c r="T60" t="s">
        <v>736</v>
      </c>
      <c r="U60" s="3">
        <f>Table4[[#This Row],[time_out]]-Table4[[#This Row],[time_in]]</f>
        <v>6.9444444444444198E-4</v>
      </c>
    </row>
    <row r="61" spans="1:21" x14ac:dyDescent="0.3">
      <c r="A61" s="5">
        <v>45980</v>
      </c>
      <c r="B61" s="3">
        <v>0.59375</v>
      </c>
      <c r="C61" s="3">
        <v>0.59583333333333333</v>
      </c>
      <c r="D61" t="s">
        <v>15</v>
      </c>
      <c r="E61" t="s">
        <v>16</v>
      </c>
      <c r="F61" t="str">
        <f>LEFT(Table4[[#This Row],[direction]],1)</f>
        <v>b</v>
      </c>
      <c r="G61" t="s">
        <v>646</v>
      </c>
      <c r="H61" t="s">
        <v>134</v>
      </c>
      <c r="I61" t="s">
        <v>123</v>
      </c>
      <c r="J61" s="14" t="s">
        <v>645</v>
      </c>
      <c r="K61" t="s">
        <v>124</v>
      </c>
      <c r="L61" t="str">
        <f>IFERROR(LEFT(Table4[[#This Row],[route_codes]],FIND(";",Table4[[#This Row],[route_codes]])-1),Table4[[#This Row],[route_codes]])</f>
        <v>A-c</v>
      </c>
      <c r="M61" t="s">
        <v>713</v>
      </c>
      <c r="O61" t="str">
        <f>IFERROR(LEFT(Table4[[#This Row],[point_codes]],FIND(";",Table4[[#This Row],[point_codes]])-1),Table4[[#This Row],[point_codes]])</f>
        <v>B-7</v>
      </c>
      <c r="P61" t="s">
        <v>745</v>
      </c>
      <c r="Q61">
        <f>IF(ISBLANK(Table4[[#This Row],[point_codes]]), "", LEN(Table4[[#This Row],[point_codes]])-LEN(SUBSTITUTE(Table4[[#This Row],[point_codes]],";",""))+1)</f>
        <v>3</v>
      </c>
      <c r="R61" t="s">
        <v>124</v>
      </c>
      <c r="T61" t="s">
        <v>734</v>
      </c>
      <c r="U61" s="3">
        <f>Table4[[#This Row],[time_out]]-Table4[[#This Row],[time_in]]</f>
        <v>2.0833333333333259E-3</v>
      </c>
    </row>
    <row r="62" spans="1:21" x14ac:dyDescent="0.3">
      <c r="A62" s="5">
        <v>45994</v>
      </c>
      <c r="B62" s="3">
        <v>0.45624999999999999</v>
      </c>
      <c r="C62" s="3">
        <v>0.45694444444444443</v>
      </c>
      <c r="D62" t="s">
        <v>15</v>
      </c>
      <c r="E62" t="s">
        <v>16</v>
      </c>
      <c r="F62" t="str">
        <f>LEFT(Table4[[#This Row],[direction]],1)</f>
        <v>a</v>
      </c>
      <c r="G62" t="s">
        <v>642</v>
      </c>
      <c r="H62" t="s">
        <v>643</v>
      </c>
      <c r="I62" t="s">
        <v>125</v>
      </c>
      <c r="J62" s="14" t="s">
        <v>645</v>
      </c>
      <c r="K62" t="s">
        <v>126</v>
      </c>
      <c r="L62" t="str">
        <f>IFERROR(LEFT(Table4[[#This Row],[route_codes]],FIND(";",Table4[[#This Row],[route_codes]])-1),Table4[[#This Row],[route_codes]])</f>
        <v>A-a</v>
      </c>
      <c r="M62" t="s">
        <v>703</v>
      </c>
      <c r="O62" t="str">
        <f>IFERROR(LEFT(Table4[[#This Row],[point_codes]],FIND(";",Table4[[#This Row],[point_codes]])-1),Table4[[#This Row],[point_codes]])</f>
        <v>A-6</v>
      </c>
      <c r="P62" t="s">
        <v>781</v>
      </c>
      <c r="Q62">
        <f>IF(ISBLANK(Table4[[#This Row],[point_codes]]), "", LEN(Table4[[#This Row],[point_codes]])-LEN(SUBSTITUTE(Table4[[#This Row],[point_codes]],";",""))+1)</f>
        <v>1</v>
      </c>
      <c r="R62" t="s">
        <v>126</v>
      </c>
      <c r="T62" t="s">
        <v>734</v>
      </c>
      <c r="U62" s="3">
        <f>Table4[[#This Row],[time_out]]-Table4[[#This Row],[time_in]]</f>
        <v>6.9444444444444198E-4</v>
      </c>
    </row>
    <row r="63" spans="1:21" x14ac:dyDescent="0.3">
      <c r="A63" s="5">
        <v>45994</v>
      </c>
      <c r="B63" s="3">
        <v>0.4826388888888889</v>
      </c>
      <c r="C63" s="3">
        <v>0.48333333333333334</v>
      </c>
      <c r="D63" t="s">
        <v>15</v>
      </c>
      <c r="E63" t="s">
        <v>16</v>
      </c>
      <c r="F63" t="str">
        <f>LEFT(Table4[[#This Row],[direction]],1)</f>
        <v>b</v>
      </c>
      <c r="G63" t="s">
        <v>646</v>
      </c>
      <c r="H63" t="s">
        <v>134</v>
      </c>
      <c r="I63" t="s">
        <v>127</v>
      </c>
      <c r="J63" s="14" t="s">
        <v>645</v>
      </c>
      <c r="K63" t="s">
        <v>128</v>
      </c>
      <c r="L63" t="str">
        <f>IFERROR(LEFT(Table4[[#This Row],[route_codes]],FIND(";",Table4[[#This Row],[route_codes]])-1),Table4[[#This Row],[route_codes]])</f>
        <v>A-c</v>
      </c>
      <c r="M63" t="s">
        <v>713</v>
      </c>
      <c r="O63" t="str">
        <f>IFERROR(LEFT(Table4[[#This Row],[point_codes]],FIND(";",Table4[[#This Row],[point_codes]])-1),Table4[[#This Row],[point_codes]])</f>
        <v>A-4</v>
      </c>
      <c r="P63" t="s">
        <v>777</v>
      </c>
      <c r="Q63">
        <f>IF(ISBLANK(Table4[[#This Row],[point_codes]]), "", LEN(Table4[[#This Row],[point_codes]])-LEN(SUBSTITUTE(Table4[[#This Row],[point_codes]],";",""))+1)</f>
        <v>1</v>
      </c>
      <c r="R63" t="s">
        <v>128</v>
      </c>
      <c r="T63" t="s">
        <v>734</v>
      </c>
      <c r="U63" s="3">
        <f>Table4[[#This Row],[time_out]]-Table4[[#This Row],[time_in]]</f>
        <v>6.9444444444444198E-4</v>
      </c>
    </row>
    <row r="64" spans="1:21" x14ac:dyDescent="0.3">
      <c r="A64" s="5">
        <v>45994</v>
      </c>
      <c r="B64" s="3">
        <v>0.49027777777777776</v>
      </c>
      <c r="C64" s="3">
        <v>0.49027777777777776</v>
      </c>
      <c r="D64" t="s">
        <v>15</v>
      </c>
      <c r="E64" t="s">
        <v>16</v>
      </c>
      <c r="F64" t="str">
        <f>LEFT(Table4[[#This Row],[direction]],1)</f>
        <v>b</v>
      </c>
      <c r="G64" t="s">
        <v>646</v>
      </c>
      <c r="H64" t="s">
        <v>134</v>
      </c>
      <c r="I64" t="s">
        <v>129</v>
      </c>
      <c r="J64" s="14" t="s">
        <v>645</v>
      </c>
      <c r="K64" t="s">
        <v>130</v>
      </c>
      <c r="L64">
        <f>IFERROR(LEFT(Table4[[#This Row],[route_codes]],FIND(";",Table4[[#This Row],[route_codes]])-1),Table4[[#This Row],[route_codes]])</f>
        <v>0</v>
      </c>
      <c r="O64">
        <f>IFERROR(LEFT(Table4[[#This Row],[point_codes]],FIND(";",Table4[[#This Row],[point_codes]])-1),Table4[[#This Row],[point_codes]])</f>
        <v>0</v>
      </c>
      <c r="Q64" t="str">
        <f>IF(ISBLANK(Table4[[#This Row],[point_codes]]), "", LEN(Table4[[#This Row],[point_codes]])-LEN(SUBSTITUTE(Table4[[#This Row],[point_codes]],";",""))+1)</f>
        <v/>
      </c>
      <c r="R64" t="s">
        <v>122</v>
      </c>
      <c r="S64" t="s">
        <v>131</v>
      </c>
      <c r="T64" t="s">
        <v>736</v>
      </c>
      <c r="U64" s="3">
        <f>Table4[[#This Row],[time_out]]-Table4[[#This Row],[time_in]]</f>
        <v>0</v>
      </c>
    </row>
    <row r="65" spans="1:21" x14ac:dyDescent="0.3">
      <c r="A65" s="5">
        <v>45994</v>
      </c>
      <c r="B65" s="3">
        <v>0.49375000000000002</v>
      </c>
      <c r="C65" s="3">
        <v>0.49375000000000002</v>
      </c>
      <c r="D65" t="s">
        <v>15</v>
      </c>
      <c r="E65" t="s">
        <v>16</v>
      </c>
      <c r="F65" t="str">
        <f>LEFT(Table4[[#This Row],[direction]],1)</f>
        <v>b</v>
      </c>
      <c r="G65" t="s">
        <v>646</v>
      </c>
      <c r="H65" t="s">
        <v>490</v>
      </c>
      <c r="I65" t="s">
        <v>133</v>
      </c>
      <c r="J65" s="14" t="s">
        <v>645</v>
      </c>
      <c r="K65" t="s">
        <v>130</v>
      </c>
      <c r="L65">
        <f>IFERROR(LEFT(Table4[[#This Row],[route_codes]],FIND(";",Table4[[#This Row],[route_codes]])-1),Table4[[#This Row],[route_codes]])</f>
        <v>0</v>
      </c>
      <c r="O65">
        <f>IFERROR(LEFT(Table4[[#This Row],[point_codes]],FIND(";",Table4[[#This Row],[point_codes]])-1),Table4[[#This Row],[point_codes]])</f>
        <v>0</v>
      </c>
      <c r="Q65" t="str">
        <f>IF(ISBLANK(Table4[[#This Row],[point_codes]]), "", LEN(Table4[[#This Row],[point_codes]])-LEN(SUBSTITUTE(Table4[[#This Row],[point_codes]],";",""))+1)</f>
        <v/>
      </c>
      <c r="R65" t="s">
        <v>122</v>
      </c>
      <c r="T65" t="s">
        <v>736</v>
      </c>
      <c r="U65" s="3">
        <f>Table4[[#This Row],[time_out]]-Table4[[#This Row],[time_in]]</f>
        <v>0</v>
      </c>
    </row>
    <row r="66" spans="1:21" x14ac:dyDescent="0.3">
      <c r="A66" s="5">
        <v>45994</v>
      </c>
      <c r="B66" s="3">
        <v>0.44513888888888886</v>
      </c>
      <c r="C66" s="3">
        <v>0.44583333333333336</v>
      </c>
      <c r="D66" t="s">
        <v>15</v>
      </c>
      <c r="E66" t="s">
        <v>16</v>
      </c>
      <c r="F66" t="str">
        <f>LEFT(Table4[[#This Row],[direction]],1)</f>
        <v>a</v>
      </c>
      <c r="G66" t="s">
        <v>642</v>
      </c>
      <c r="H66" t="s">
        <v>134</v>
      </c>
      <c r="I66" t="s">
        <v>135</v>
      </c>
      <c r="J66" s="14" t="s">
        <v>644</v>
      </c>
      <c r="K66" t="s">
        <v>136</v>
      </c>
      <c r="L66">
        <f>IFERROR(LEFT(Table4[[#This Row],[route_codes]],FIND(";",Table4[[#This Row],[route_codes]])-1),Table4[[#This Row],[route_codes]])</f>
        <v>0</v>
      </c>
      <c r="O66">
        <f>IFERROR(LEFT(Table4[[#This Row],[point_codes]],FIND(";",Table4[[#This Row],[point_codes]])-1),Table4[[#This Row],[point_codes]])</f>
        <v>0</v>
      </c>
      <c r="Q66" t="str">
        <f>IF(ISBLANK(Table4[[#This Row],[point_codes]]), "", LEN(Table4[[#This Row],[point_codes]])-LEN(SUBSTITUTE(Table4[[#This Row],[point_codes]],";",""))+1)</f>
        <v/>
      </c>
      <c r="R66" t="s">
        <v>122</v>
      </c>
      <c r="T66" t="s">
        <v>736</v>
      </c>
      <c r="U66" s="3">
        <f>Table4[[#This Row],[time_out]]-Table4[[#This Row],[time_in]]</f>
        <v>6.9444444444449749E-4</v>
      </c>
    </row>
    <row r="67" spans="1:21" x14ac:dyDescent="0.3">
      <c r="A67" s="5"/>
      <c r="B67" s="3">
        <v>0.49444444444444446</v>
      </c>
      <c r="C67" s="3">
        <v>0.49444444444444446</v>
      </c>
      <c r="E67" t="s">
        <v>16</v>
      </c>
      <c r="F67" t="str">
        <f>LEFT(Table4[[#This Row],[direction]],1)</f>
        <v>a</v>
      </c>
      <c r="G67" t="s">
        <v>642</v>
      </c>
      <c r="H67" t="s">
        <v>134</v>
      </c>
      <c r="I67" t="s">
        <v>137</v>
      </c>
      <c r="J67" s="14" t="s">
        <v>644</v>
      </c>
      <c r="K67" t="s">
        <v>136</v>
      </c>
      <c r="L67">
        <f>IFERROR(LEFT(Table4[[#This Row],[route_codes]],FIND(";",Table4[[#This Row],[route_codes]])-1),Table4[[#This Row],[route_codes]])</f>
        <v>0</v>
      </c>
      <c r="O67">
        <f>IFERROR(LEFT(Table4[[#This Row],[point_codes]],FIND(";",Table4[[#This Row],[point_codes]])-1),Table4[[#This Row],[point_codes]])</f>
        <v>0</v>
      </c>
      <c r="Q67" t="str">
        <f>IF(ISBLANK(Table4[[#This Row],[point_codes]]), "", LEN(Table4[[#This Row],[point_codes]])-LEN(SUBSTITUTE(Table4[[#This Row],[point_codes]],";",""))+1)</f>
        <v/>
      </c>
      <c r="R67" t="s">
        <v>122</v>
      </c>
      <c r="T67" t="s">
        <v>736</v>
      </c>
      <c r="U67" s="3">
        <f>Table4[[#This Row],[time_out]]-Table4[[#This Row],[time_in]]</f>
        <v>0</v>
      </c>
    </row>
    <row r="68" spans="1:21" x14ac:dyDescent="0.3">
      <c r="A68" s="5"/>
      <c r="B68" s="3">
        <v>0.49513888888888891</v>
      </c>
      <c r="C68" s="3">
        <v>0.49583333333333335</v>
      </c>
      <c r="E68" t="s">
        <v>16</v>
      </c>
      <c r="F68" t="str">
        <f>LEFT(Table4[[#This Row],[direction]],1)</f>
        <v>b</v>
      </c>
      <c r="G68" t="s">
        <v>646</v>
      </c>
      <c r="H68" t="s">
        <v>134</v>
      </c>
      <c r="I68" t="s">
        <v>138</v>
      </c>
      <c r="J68" s="14" t="s">
        <v>645</v>
      </c>
      <c r="K68" t="s">
        <v>139</v>
      </c>
      <c r="L68" t="str">
        <f>IFERROR(LEFT(Table4[[#This Row],[route_codes]],FIND(";",Table4[[#This Row],[route_codes]])-1),Table4[[#This Row],[route_codes]])</f>
        <v>A-c</v>
      </c>
      <c r="M68" t="s">
        <v>713</v>
      </c>
      <c r="O68" t="str">
        <f>IFERROR(LEFT(Table4[[#This Row],[point_codes]],FIND(";",Table4[[#This Row],[point_codes]])-1),Table4[[#This Row],[point_codes]])</f>
        <v>A-4</v>
      </c>
      <c r="P68" t="s">
        <v>777</v>
      </c>
      <c r="Q68">
        <f>IF(ISBLANK(Table4[[#This Row],[point_codes]]), "", LEN(Table4[[#This Row],[point_codes]])-LEN(SUBSTITUTE(Table4[[#This Row],[point_codes]],";",""))+1)</f>
        <v>1</v>
      </c>
      <c r="R68" t="s">
        <v>140</v>
      </c>
      <c r="T68" t="s">
        <v>735</v>
      </c>
      <c r="U68" s="3">
        <f>Table4[[#This Row],[time_out]]-Table4[[#This Row],[time_in]]</f>
        <v>6.9444444444444198E-4</v>
      </c>
    </row>
    <row r="69" spans="1:21" x14ac:dyDescent="0.3">
      <c r="A69" s="5"/>
      <c r="B69" s="3">
        <v>0.47222222222222221</v>
      </c>
      <c r="C69" s="3">
        <v>0.47222222222222221</v>
      </c>
      <c r="E69" t="s">
        <v>16</v>
      </c>
      <c r="F69" t="str">
        <f>LEFT(Table4[[#This Row],[direction]],1)</f>
        <v>a</v>
      </c>
      <c r="G69" t="s">
        <v>642</v>
      </c>
      <c r="H69" t="s">
        <v>134</v>
      </c>
      <c r="I69" t="s">
        <v>141</v>
      </c>
      <c r="J69" s="14" t="s">
        <v>645</v>
      </c>
      <c r="K69" t="s">
        <v>142</v>
      </c>
      <c r="L69" t="str">
        <f>IFERROR(LEFT(Table4[[#This Row],[route_codes]],FIND(";",Table4[[#This Row],[route_codes]])-1),Table4[[#This Row],[route_codes]])</f>
        <v>A-b</v>
      </c>
      <c r="M69" t="s">
        <v>774</v>
      </c>
      <c r="O69" t="str">
        <f>IFERROR(LEFT(Table4[[#This Row],[point_codes]],FIND(";",Table4[[#This Row],[point_codes]])-1),Table4[[#This Row],[point_codes]])</f>
        <v>A-10</v>
      </c>
      <c r="P69" t="s">
        <v>775</v>
      </c>
      <c r="Q69">
        <f>IF(ISBLANK(Table4[[#This Row],[point_codes]]), "", LEN(Table4[[#This Row],[point_codes]])-LEN(SUBSTITUTE(Table4[[#This Row],[point_codes]],";",""))+1)</f>
        <v>1</v>
      </c>
      <c r="R69" t="s">
        <v>143</v>
      </c>
      <c r="T69" t="s">
        <v>735</v>
      </c>
      <c r="U69" s="3">
        <f>Table4[[#This Row],[time_out]]-Table4[[#This Row],[time_in]]</f>
        <v>0</v>
      </c>
    </row>
    <row r="70" spans="1:21" x14ac:dyDescent="0.3">
      <c r="A70" s="5"/>
      <c r="B70" s="3">
        <v>0.47152777777777777</v>
      </c>
      <c r="C70" s="3">
        <v>0.47152777777777777</v>
      </c>
      <c r="E70" t="s">
        <v>16</v>
      </c>
      <c r="F70" t="str">
        <f>LEFT(Table4[[#This Row],[direction]],1)</f>
        <v>a</v>
      </c>
      <c r="G70" t="s">
        <v>642</v>
      </c>
      <c r="H70" t="s">
        <v>643</v>
      </c>
      <c r="I70" t="s">
        <v>144</v>
      </c>
      <c r="J70" s="14" t="s">
        <v>645</v>
      </c>
      <c r="K70" t="s">
        <v>145</v>
      </c>
      <c r="L70">
        <f>IFERROR(LEFT(Table4[[#This Row],[route_codes]],FIND(";",Table4[[#This Row],[route_codes]])-1),Table4[[#This Row],[route_codes]])</f>
        <v>0</v>
      </c>
      <c r="O70" t="str">
        <f>IFERROR(LEFT(Table4[[#This Row],[point_codes]],FIND(";",Table4[[#This Row],[point_codes]])-1),Table4[[#This Row],[point_codes]])</f>
        <v>A-3</v>
      </c>
      <c r="P70" t="s">
        <v>795</v>
      </c>
      <c r="Q70">
        <f>IF(ISBLANK(Table4[[#This Row],[point_codes]]), "", LEN(Table4[[#This Row],[point_codes]])-LEN(SUBSTITUTE(Table4[[#This Row],[point_codes]],";",""))+1)</f>
        <v>1</v>
      </c>
      <c r="R70" t="s">
        <v>146</v>
      </c>
      <c r="T70" t="s">
        <v>735</v>
      </c>
      <c r="U70" s="3">
        <f>Table4[[#This Row],[time_out]]-Table4[[#This Row],[time_in]]</f>
        <v>0</v>
      </c>
    </row>
    <row r="71" spans="1:21" x14ac:dyDescent="0.3">
      <c r="A71" s="5">
        <v>45997</v>
      </c>
      <c r="B71" s="3">
        <v>0.48055555555555557</v>
      </c>
      <c r="C71" s="3">
        <v>0.48125000000000001</v>
      </c>
      <c r="D71" t="s">
        <v>147</v>
      </c>
      <c r="E71" t="s">
        <v>16</v>
      </c>
      <c r="F71" t="str">
        <f>LEFT(Table4[[#This Row],[direction]],1)</f>
        <v>b</v>
      </c>
      <c r="G71" t="s">
        <v>646</v>
      </c>
      <c r="H71" t="s">
        <v>134</v>
      </c>
      <c r="I71" t="s">
        <v>148</v>
      </c>
      <c r="J71" s="14" t="s">
        <v>645</v>
      </c>
      <c r="K71" t="s">
        <v>149</v>
      </c>
      <c r="L71">
        <f>IFERROR(LEFT(Table4[[#This Row],[route_codes]],FIND(";",Table4[[#This Row],[route_codes]])-1),Table4[[#This Row],[route_codes]])</f>
        <v>0</v>
      </c>
      <c r="O71">
        <f>IFERROR(LEFT(Table4[[#This Row],[point_codes]],FIND(";",Table4[[#This Row],[point_codes]])-1),Table4[[#This Row],[point_codes]])</f>
        <v>0</v>
      </c>
      <c r="Q71" t="str">
        <f>IF(ISBLANK(Table4[[#This Row],[point_codes]]), "", LEN(Table4[[#This Row],[point_codes]])-LEN(SUBSTITUTE(Table4[[#This Row],[point_codes]],";",""))+1)</f>
        <v/>
      </c>
      <c r="R71" t="s">
        <v>122</v>
      </c>
      <c r="T71" t="s">
        <v>736</v>
      </c>
      <c r="U71" s="3">
        <f>Table4[[#This Row],[time_out]]-Table4[[#This Row],[time_in]]</f>
        <v>6.9444444444444198E-4</v>
      </c>
    </row>
    <row r="72" spans="1:21" x14ac:dyDescent="0.3">
      <c r="A72" s="5">
        <v>45997</v>
      </c>
      <c r="B72" s="3">
        <v>0.46875</v>
      </c>
      <c r="C72" s="3">
        <v>0.46875</v>
      </c>
      <c r="D72" t="s">
        <v>147</v>
      </c>
      <c r="E72" t="s">
        <v>16</v>
      </c>
      <c r="F72" t="str">
        <f>LEFT(Table4[[#This Row],[direction]],1)</f>
        <v>b</v>
      </c>
      <c r="G72" t="s">
        <v>646</v>
      </c>
      <c r="H72" t="s">
        <v>134</v>
      </c>
      <c r="I72" t="s">
        <v>150</v>
      </c>
      <c r="J72" s="14" t="s">
        <v>645</v>
      </c>
      <c r="K72" t="s">
        <v>149</v>
      </c>
      <c r="L72">
        <f>IFERROR(LEFT(Table4[[#This Row],[route_codes]],FIND(";",Table4[[#This Row],[route_codes]])-1),Table4[[#This Row],[route_codes]])</f>
        <v>0</v>
      </c>
      <c r="O72">
        <f>IFERROR(LEFT(Table4[[#This Row],[point_codes]],FIND(";",Table4[[#This Row],[point_codes]])-1),Table4[[#This Row],[point_codes]])</f>
        <v>0</v>
      </c>
      <c r="Q72" t="str">
        <f>IF(ISBLANK(Table4[[#This Row],[point_codes]]), "", LEN(Table4[[#This Row],[point_codes]])-LEN(SUBSTITUTE(Table4[[#This Row],[point_codes]],";",""))+1)</f>
        <v/>
      </c>
      <c r="R72" t="s">
        <v>122</v>
      </c>
      <c r="T72" t="s">
        <v>736</v>
      </c>
      <c r="U72" s="3">
        <f>Table4[[#This Row],[time_out]]-Table4[[#This Row],[time_in]]</f>
        <v>0</v>
      </c>
    </row>
    <row r="73" spans="1:21" x14ac:dyDescent="0.3">
      <c r="A73" s="5">
        <v>45997</v>
      </c>
      <c r="B73" s="3">
        <v>0.47430555555555554</v>
      </c>
      <c r="C73" s="3">
        <v>0.47430555555555554</v>
      </c>
      <c r="D73" t="s">
        <v>147</v>
      </c>
      <c r="E73" t="s">
        <v>16</v>
      </c>
      <c r="F73" t="str">
        <f>LEFT(Table4[[#This Row],[direction]],1)</f>
        <v>b</v>
      </c>
      <c r="G73" t="s">
        <v>646</v>
      </c>
      <c r="H73" t="s">
        <v>134</v>
      </c>
      <c r="I73" t="s">
        <v>150</v>
      </c>
      <c r="J73" s="14" t="s">
        <v>645</v>
      </c>
      <c r="K73" t="s">
        <v>149</v>
      </c>
      <c r="L73">
        <f>IFERROR(LEFT(Table4[[#This Row],[route_codes]],FIND(";",Table4[[#This Row],[route_codes]])-1),Table4[[#This Row],[route_codes]])</f>
        <v>0</v>
      </c>
      <c r="O73">
        <f>IFERROR(LEFT(Table4[[#This Row],[point_codes]],FIND(";",Table4[[#This Row],[point_codes]])-1),Table4[[#This Row],[point_codes]])</f>
        <v>0</v>
      </c>
      <c r="Q73" t="str">
        <f>IF(ISBLANK(Table4[[#This Row],[point_codes]]), "", LEN(Table4[[#This Row],[point_codes]])-LEN(SUBSTITUTE(Table4[[#This Row],[point_codes]],";",""))+1)</f>
        <v/>
      </c>
      <c r="R73" t="s">
        <v>122</v>
      </c>
      <c r="S73" t="s">
        <v>151</v>
      </c>
      <c r="T73" t="s">
        <v>736</v>
      </c>
      <c r="U73" s="3">
        <f>Table4[[#This Row],[time_out]]-Table4[[#This Row],[time_in]]</f>
        <v>0</v>
      </c>
    </row>
    <row r="74" spans="1:21" x14ac:dyDescent="0.3">
      <c r="A74" s="5">
        <v>45998</v>
      </c>
      <c r="B74" s="3">
        <v>0.4597222222222222</v>
      </c>
      <c r="C74" s="3">
        <v>0.4597222222222222</v>
      </c>
      <c r="D74" t="s">
        <v>28</v>
      </c>
      <c r="E74" t="s">
        <v>16</v>
      </c>
      <c r="F74" t="str">
        <f>LEFT(Table4[[#This Row],[direction]],1)</f>
        <v>a</v>
      </c>
      <c r="G74" t="s">
        <v>642</v>
      </c>
      <c r="H74" t="s">
        <v>490</v>
      </c>
      <c r="I74" t="s">
        <v>152</v>
      </c>
      <c r="J74" s="14" t="s">
        <v>644</v>
      </c>
      <c r="K74" t="s">
        <v>136</v>
      </c>
      <c r="L74">
        <f>IFERROR(LEFT(Table4[[#This Row],[route_codes]],FIND(";",Table4[[#This Row],[route_codes]])-1),Table4[[#This Row],[route_codes]])</f>
        <v>0</v>
      </c>
      <c r="O74">
        <f>IFERROR(LEFT(Table4[[#This Row],[point_codes]],FIND(";",Table4[[#This Row],[point_codes]])-1),Table4[[#This Row],[point_codes]])</f>
        <v>0</v>
      </c>
      <c r="Q74" t="str">
        <f>IF(ISBLANK(Table4[[#This Row],[point_codes]]), "", LEN(Table4[[#This Row],[point_codes]])-LEN(SUBSTITUTE(Table4[[#This Row],[point_codes]],";",""))+1)</f>
        <v/>
      </c>
      <c r="R74" t="s">
        <v>122</v>
      </c>
      <c r="S74" t="s">
        <v>154</v>
      </c>
      <c r="T74" t="s">
        <v>736</v>
      </c>
      <c r="U74" s="3">
        <f>Table4[[#This Row],[time_out]]-Table4[[#This Row],[time_in]]</f>
        <v>0</v>
      </c>
    </row>
    <row r="75" spans="1:21" x14ac:dyDescent="0.3">
      <c r="A75" s="5">
        <v>45998</v>
      </c>
      <c r="B75" s="3">
        <v>0.46041666666666664</v>
      </c>
      <c r="C75" s="3">
        <v>0.46111111111111114</v>
      </c>
      <c r="D75" t="s">
        <v>28</v>
      </c>
      <c r="E75" t="s">
        <v>16</v>
      </c>
      <c r="F75" t="str">
        <f>LEFT(Table4[[#This Row],[direction]],1)</f>
        <v>a</v>
      </c>
      <c r="G75" t="s">
        <v>642</v>
      </c>
      <c r="H75" t="s">
        <v>134</v>
      </c>
      <c r="I75" t="s">
        <v>155</v>
      </c>
      <c r="J75" s="14" t="s">
        <v>645</v>
      </c>
      <c r="K75" t="s">
        <v>136</v>
      </c>
      <c r="L75">
        <f>IFERROR(LEFT(Table4[[#This Row],[route_codes]],FIND(";",Table4[[#This Row],[route_codes]])-1),Table4[[#This Row],[route_codes]])</f>
        <v>0</v>
      </c>
      <c r="O75">
        <f>IFERROR(LEFT(Table4[[#This Row],[point_codes]],FIND(";",Table4[[#This Row],[point_codes]])-1),Table4[[#This Row],[point_codes]])</f>
        <v>0</v>
      </c>
      <c r="Q75" t="str">
        <f>IF(ISBLANK(Table4[[#This Row],[point_codes]]), "", LEN(Table4[[#This Row],[point_codes]])-LEN(SUBSTITUTE(Table4[[#This Row],[point_codes]],";",""))+1)</f>
        <v/>
      </c>
      <c r="R75" t="s">
        <v>122</v>
      </c>
      <c r="S75" t="s">
        <v>156</v>
      </c>
      <c r="T75" t="s">
        <v>736</v>
      </c>
      <c r="U75" s="3">
        <f>Table4[[#This Row],[time_out]]-Table4[[#This Row],[time_in]]</f>
        <v>6.9444444444449749E-4</v>
      </c>
    </row>
    <row r="76" spans="1:21" x14ac:dyDescent="0.3">
      <c r="A76" s="5">
        <v>45991</v>
      </c>
      <c r="B76" s="3">
        <v>0.5756944444444444</v>
      </c>
      <c r="C76" s="3">
        <v>0.5756944444444444</v>
      </c>
      <c r="D76" t="s">
        <v>147</v>
      </c>
      <c r="E76" t="s">
        <v>16</v>
      </c>
      <c r="F76" t="str">
        <f>LEFT(Table4[[#This Row],[direction]],1)</f>
        <v>b</v>
      </c>
      <c r="G76" t="s">
        <v>646</v>
      </c>
      <c r="H76" t="s">
        <v>134</v>
      </c>
      <c r="I76" t="s">
        <v>150</v>
      </c>
      <c r="J76" s="14" t="s">
        <v>645</v>
      </c>
      <c r="K76" t="s">
        <v>149</v>
      </c>
      <c r="L76">
        <f>IFERROR(LEFT(Table4[[#This Row],[route_codes]],FIND(";",Table4[[#This Row],[route_codes]])-1),Table4[[#This Row],[route_codes]])</f>
        <v>0</v>
      </c>
      <c r="O76">
        <f>IFERROR(LEFT(Table4[[#This Row],[point_codes]],FIND(";",Table4[[#This Row],[point_codes]])-1),Table4[[#This Row],[point_codes]])</f>
        <v>0</v>
      </c>
      <c r="Q76" t="str">
        <f>IF(ISBLANK(Table4[[#This Row],[point_codes]]), "", LEN(Table4[[#This Row],[point_codes]])-LEN(SUBSTITUTE(Table4[[#This Row],[point_codes]],";",""))+1)</f>
        <v/>
      </c>
      <c r="R76" t="s">
        <v>122</v>
      </c>
      <c r="S76" t="s">
        <v>157</v>
      </c>
      <c r="T76" t="s">
        <v>736</v>
      </c>
      <c r="U76" s="3">
        <f>Table4[[#This Row],[time_out]]-Table4[[#This Row],[time_in]]</f>
        <v>0</v>
      </c>
    </row>
    <row r="77" spans="1:21" x14ac:dyDescent="0.3">
      <c r="A77" s="5">
        <v>45991</v>
      </c>
      <c r="B77" s="3">
        <v>0.50763888888888886</v>
      </c>
      <c r="C77" s="3">
        <v>0.5083333333333333</v>
      </c>
      <c r="D77" t="s">
        <v>15</v>
      </c>
      <c r="E77" t="s">
        <v>16</v>
      </c>
      <c r="F77" t="str">
        <f>LEFT(Table4[[#This Row],[direction]],1)</f>
        <v>b</v>
      </c>
      <c r="G77" t="s">
        <v>646</v>
      </c>
      <c r="H77" t="s">
        <v>134</v>
      </c>
      <c r="J77" s="14" t="s">
        <v>645</v>
      </c>
      <c r="K77" t="s">
        <v>158</v>
      </c>
      <c r="L77">
        <f>IFERROR(LEFT(Table4[[#This Row],[route_codes]],FIND(";",Table4[[#This Row],[route_codes]])-1),Table4[[#This Row],[route_codes]])</f>
        <v>0</v>
      </c>
      <c r="O77">
        <f>IFERROR(LEFT(Table4[[#This Row],[point_codes]],FIND(";",Table4[[#This Row],[point_codes]])-1),Table4[[#This Row],[point_codes]])</f>
        <v>0</v>
      </c>
      <c r="Q77" t="str">
        <f>IF(ISBLANK(Table4[[#This Row],[point_codes]]), "", LEN(Table4[[#This Row],[point_codes]])-LEN(SUBSTITUTE(Table4[[#This Row],[point_codes]],";",""))+1)</f>
        <v/>
      </c>
      <c r="R77" t="s">
        <v>122</v>
      </c>
      <c r="S77" t="s">
        <v>159</v>
      </c>
      <c r="T77" t="s">
        <v>736</v>
      </c>
      <c r="U77" s="3">
        <f>Table4[[#This Row],[time_out]]-Table4[[#This Row],[time_in]]</f>
        <v>6.9444444444444198E-4</v>
      </c>
    </row>
    <row r="78" spans="1:21" x14ac:dyDescent="0.3">
      <c r="A78" s="5"/>
      <c r="B78" s="3">
        <v>0.56388888888888888</v>
      </c>
      <c r="C78" s="3">
        <v>0.56388888888888888</v>
      </c>
      <c r="D78" t="s">
        <v>147</v>
      </c>
      <c r="E78" t="s">
        <v>16</v>
      </c>
      <c r="F78" t="str">
        <f>LEFT(Table4[[#This Row],[direction]],1)</f>
        <v>a</v>
      </c>
      <c r="G78" t="s">
        <v>642</v>
      </c>
      <c r="H78" t="s">
        <v>490</v>
      </c>
      <c r="J78" s="14" t="s">
        <v>644</v>
      </c>
      <c r="K78" t="s">
        <v>160</v>
      </c>
      <c r="L78">
        <f>IFERROR(LEFT(Table4[[#This Row],[route_codes]],FIND(";",Table4[[#This Row],[route_codes]])-1),Table4[[#This Row],[route_codes]])</f>
        <v>0</v>
      </c>
      <c r="O78">
        <f>IFERROR(LEFT(Table4[[#This Row],[point_codes]],FIND(";",Table4[[#This Row],[point_codes]])-1),Table4[[#This Row],[point_codes]])</f>
        <v>0</v>
      </c>
      <c r="Q78" t="str">
        <f>IF(ISBLANK(Table4[[#This Row],[point_codes]]), "", LEN(Table4[[#This Row],[point_codes]])-LEN(SUBSTITUTE(Table4[[#This Row],[point_codes]],";",""))+1)</f>
        <v/>
      </c>
      <c r="R78" t="s">
        <v>122</v>
      </c>
      <c r="S78" t="s">
        <v>161</v>
      </c>
      <c r="T78" t="s">
        <v>736</v>
      </c>
      <c r="U78" s="3">
        <f>Table4[[#This Row],[time_out]]-Table4[[#This Row],[time_in]]</f>
        <v>0</v>
      </c>
    </row>
    <row r="79" spans="1:21" x14ac:dyDescent="0.3">
      <c r="A79" s="5">
        <v>45988</v>
      </c>
      <c r="B79" s="3">
        <v>0.48194444444444445</v>
      </c>
      <c r="C79" s="3">
        <v>0.48194444444444445</v>
      </c>
      <c r="D79" t="s">
        <v>28</v>
      </c>
      <c r="E79" t="s">
        <v>16</v>
      </c>
      <c r="F79" t="str">
        <f>LEFT(Table4[[#This Row],[direction]],1)</f>
        <v>b</v>
      </c>
      <c r="G79" t="s">
        <v>646</v>
      </c>
      <c r="H79" t="s">
        <v>643</v>
      </c>
      <c r="I79" t="s">
        <v>162</v>
      </c>
      <c r="J79" s="14" t="s">
        <v>645</v>
      </c>
      <c r="K79" t="s">
        <v>163</v>
      </c>
      <c r="L79">
        <f>IFERROR(LEFT(Table4[[#This Row],[route_codes]],FIND(";",Table4[[#This Row],[route_codes]])-1),Table4[[#This Row],[route_codes]])</f>
        <v>0</v>
      </c>
      <c r="O79" t="str">
        <f>IFERROR(LEFT(Table4[[#This Row],[point_codes]],FIND(";",Table4[[#This Row],[point_codes]])-1),Table4[[#This Row],[point_codes]])</f>
        <v>B-7</v>
      </c>
      <c r="P79" t="s">
        <v>744</v>
      </c>
      <c r="Q79">
        <f>IF(ISBLANK(Table4[[#This Row],[point_codes]]), "", LEN(Table4[[#This Row],[point_codes]])-LEN(SUBSTITUTE(Table4[[#This Row],[point_codes]],";",""))+1)</f>
        <v>1</v>
      </c>
      <c r="R79" t="s">
        <v>164</v>
      </c>
      <c r="T79" t="s">
        <v>735</v>
      </c>
      <c r="U79" s="3">
        <f>Table4[[#This Row],[time_out]]-Table4[[#This Row],[time_in]]</f>
        <v>0</v>
      </c>
    </row>
    <row r="80" spans="1:21" x14ac:dyDescent="0.3">
      <c r="A80" s="5">
        <v>45988</v>
      </c>
      <c r="B80" s="3">
        <v>0.47986111111111113</v>
      </c>
      <c r="C80" s="3">
        <v>0.47986111111111113</v>
      </c>
      <c r="D80" t="s">
        <v>28</v>
      </c>
      <c r="E80" t="s">
        <v>16</v>
      </c>
      <c r="F80" t="str">
        <f>LEFT(Table4[[#This Row],[direction]],1)</f>
        <v>a</v>
      </c>
      <c r="G80" t="s">
        <v>642</v>
      </c>
      <c r="H80" t="s">
        <v>134</v>
      </c>
      <c r="I80" t="s">
        <v>165</v>
      </c>
      <c r="J80" s="14" t="s">
        <v>645</v>
      </c>
      <c r="K80" t="s">
        <v>166</v>
      </c>
      <c r="L80">
        <f>IFERROR(LEFT(Table4[[#This Row],[route_codes]],FIND(";",Table4[[#This Row],[route_codes]])-1),Table4[[#This Row],[route_codes]])</f>
        <v>0</v>
      </c>
      <c r="O80">
        <f>IFERROR(LEFT(Table4[[#This Row],[point_codes]],FIND(";",Table4[[#This Row],[point_codes]])-1),Table4[[#This Row],[point_codes]])</f>
        <v>0</v>
      </c>
      <c r="Q80" t="str">
        <f>IF(ISBLANK(Table4[[#This Row],[point_codes]]), "", LEN(Table4[[#This Row],[point_codes]])-LEN(SUBSTITUTE(Table4[[#This Row],[point_codes]],";",""))+1)</f>
        <v/>
      </c>
      <c r="R80" t="s">
        <v>122</v>
      </c>
      <c r="T80" t="s">
        <v>736</v>
      </c>
      <c r="U80" s="3">
        <f>Table4[[#This Row],[time_out]]-Table4[[#This Row],[time_in]]</f>
        <v>0</v>
      </c>
    </row>
    <row r="81" spans="1:21" x14ac:dyDescent="0.3">
      <c r="A81" s="5">
        <v>45988</v>
      </c>
      <c r="B81" s="3">
        <v>0.47708333333333336</v>
      </c>
      <c r="C81" s="3">
        <v>0.47708333333333336</v>
      </c>
      <c r="D81" t="s">
        <v>28</v>
      </c>
      <c r="E81" t="s">
        <v>16</v>
      </c>
      <c r="F81" t="str">
        <f>LEFT(Table4[[#This Row],[direction]],1)</f>
        <v>a</v>
      </c>
      <c r="G81" t="s">
        <v>642</v>
      </c>
      <c r="H81" t="s">
        <v>490</v>
      </c>
      <c r="I81" t="s">
        <v>167</v>
      </c>
      <c r="J81" s="14" t="s">
        <v>645</v>
      </c>
      <c r="K81" t="s">
        <v>166</v>
      </c>
      <c r="L81">
        <f>IFERROR(LEFT(Table4[[#This Row],[route_codes]],FIND(";",Table4[[#This Row],[route_codes]])-1),Table4[[#This Row],[route_codes]])</f>
        <v>0</v>
      </c>
      <c r="O81">
        <f>IFERROR(LEFT(Table4[[#This Row],[point_codes]],FIND(";",Table4[[#This Row],[point_codes]])-1),Table4[[#This Row],[point_codes]])</f>
        <v>0</v>
      </c>
      <c r="Q81" t="str">
        <f>IF(ISBLANK(Table4[[#This Row],[point_codes]]), "", LEN(Table4[[#This Row],[point_codes]])-LEN(SUBSTITUTE(Table4[[#This Row],[point_codes]],";",""))+1)</f>
        <v/>
      </c>
      <c r="R81" t="s">
        <v>122</v>
      </c>
      <c r="T81" t="s">
        <v>736</v>
      </c>
      <c r="U81" s="3">
        <f>Table4[[#This Row],[time_out]]-Table4[[#This Row],[time_in]]</f>
        <v>0</v>
      </c>
    </row>
    <row r="82" spans="1:21" x14ac:dyDescent="0.3">
      <c r="A82" s="5">
        <v>45988</v>
      </c>
      <c r="B82" s="3">
        <v>0.50555555555555554</v>
      </c>
      <c r="C82" s="3">
        <v>0.50555555555555554</v>
      </c>
      <c r="D82" t="s">
        <v>28</v>
      </c>
      <c r="E82" t="s">
        <v>16</v>
      </c>
      <c r="F82" t="str">
        <f>LEFT(Table4[[#This Row],[direction]],1)</f>
        <v>a</v>
      </c>
      <c r="G82" t="s">
        <v>642</v>
      </c>
      <c r="H82" t="s">
        <v>490</v>
      </c>
      <c r="I82" t="s">
        <v>168</v>
      </c>
      <c r="J82" s="14" t="s">
        <v>645</v>
      </c>
      <c r="K82" t="s">
        <v>166</v>
      </c>
      <c r="L82">
        <f>IFERROR(LEFT(Table4[[#This Row],[route_codes]],FIND(";",Table4[[#This Row],[route_codes]])-1),Table4[[#This Row],[route_codes]])</f>
        <v>0</v>
      </c>
      <c r="O82">
        <f>IFERROR(LEFT(Table4[[#This Row],[point_codes]],FIND(";",Table4[[#This Row],[point_codes]])-1),Table4[[#This Row],[point_codes]])</f>
        <v>0</v>
      </c>
      <c r="Q82" t="str">
        <f>IF(ISBLANK(Table4[[#This Row],[point_codes]]), "", LEN(Table4[[#This Row],[point_codes]])-LEN(SUBSTITUTE(Table4[[#This Row],[point_codes]],";",""))+1)</f>
        <v/>
      </c>
      <c r="R82" t="s">
        <v>122</v>
      </c>
      <c r="T82" t="s">
        <v>736</v>
      </c>
      <c r="U82" s="3">
        <f>Table4[[#This Row],[time_out]]-Table4[[#This Row],[time_in]]</f>
        <v>0</v>
      </c>
    </row>
    <row r="83" spans="1:21" x14ac:dyDescent="0.3">
      <c r="A83" s="5">
        <v>45988</v>
      </c>
      <c r="B83" s="3">
        <v>0.50138888888888888</v>
      </c>
      <c r="C83" s="3">
        <v>0.50138888888888888</v>
      </c>
      <c r="D83" t="s">
        <v>28</v>
      </c>
      <c r="E83" t="s">
        <v>16</v>
      </c>
      <c r="F83" t="str">
        <f>LEFT(Table4[[#This Row],[direction]],1)</f>
        <v>a</v>
      </c>
      <c r="G83" t="s">
        <v>642</v>
      </c>
      <c r="H83" t="s">
        <v>643</v>
      </c>
      <c r="I83" t="s">
        <v>50</v>
      </c>
      <c r="J83" s="14" t="s">
        <v>645</v>
      </c>
      <c r="K83" t="s">
        <v>166</v>
      </c>
      <c r="L83">
        <f>IFERROR(LEFT(Table4[[#This Row],[route_codes]],FIND(";",Table4[[#This Row],[route_codes]])-1),Table4[[#This Row],[route_codes]])</f>
        <v>0</v>
      </c>
      <c r="O83">
        <f>IFERROR(LEFT(Table4[[#This Row],[point_codes]],FIND(";",Table4[[#This Row],[point_codes]])-1),Table4[[#This Row],[point_codes]])</f>
        <v>0</v>
      </c>
      <c r="Q83" t="str">
        <f>IF(ISBLANK(Table4[[#This Row],[point_codes]]), "", LEN(Table4[[#This Row],[point_codes]])-LEN(SUBSTITUTE(Table4[[#This Row],[point_codes]],";",""))+1)</f>
        <v/>
      </c>
      <c r="R83" t="s">
        <v>122</v>
      </c>
      <c r="S83" t="s">
        <v>169</v>
      </c>
      <c r="T83" t="s">
        <v>736</v>
      </c>
      <c r="U83" s="3">
        <f>Table4[[#This Row],[time_out]]-Table4[[#This Row],[time_in]]</f>
        <v>0</v>
      </c>
    </row>
    <row r="84" spans="1:21" x14ac:dyDescent="0.3">
      <c r="A84" s="5">
        <v>45988</v>
      </c>
      <c r="B84" s="3">
        <v>0.48402777777777778</v>
      </c>
      <c r="C84" s="3">
        <v>0.48472222222222222</v>
      </c>
      <c r="D84" t="s">
        <v>15</v>
      </c>
      <c r="E84" t="s">
        <v>16</v>
      </c>
      <c r="F84" t="str">
        <f>LEFT(Table4[[#This Row],[direction]],1)</f>
        <v>a</v>
      </c>
      <c r="G84" t="s">
        <v>642</v>
      </c>
      <c r="H84" t="s">
        <v>490</v>
      </c>
      <c r="I84" t="s">
        <v>170</v>
      </c>
      <c r="J84" s="14" t="s">
        <v>645</v>
      </c>
      <c r="K84" t="s">
        <v>171</v>
      </c>
      <c r="L84" t="str">
        <f>IFERROR(LEFT(Table4[[#This Row],[route_codes]],FIND(";",Table4[[#This Row],[route_codes]])-1),Table4[[#This Row],[route_codes]])</f>
        <v>A-a</v>
      </c>
      <c r="M84" t="s">
        <v>703</v>
      </c>
      <c r="O84" t="str">
        <f>IFERROR(LEFT(Table4[[#This Row],[point_codes]],FIND(";",Table4[[#This Row],[point_codes]])-1),Table4[[#This Row],[point_codes]])</f>
        <v>A-4</v>
      </c>
      <c r="P84" t="s">
        <v>777</v>
      </c>
      <c r="Q84">
        <f>IF(ISBLANK(Table4[[#This Row],[point_codes]]), "", LEN(Table4[[#This Row],[point_codes]])-LEN(SUBSTITUTE(Table4[[#This Row],[point_codes]],";",""))+1)</f>
        <v>1</v>
      </c>
      <c r="R84" t="s">
        <v>172</v>
      </c>
      <c r="T84" t="s">
        <v>734</v>
      </c>
      <c r="U84" s="3">
        <f>Table4[[#This Row],[time_out]]-Table4[[#This Row],[time_in]]</f>
        <v>6.9444444444444198E-4</v>
      </c>
    </row>
    <row r="85" spans="1:21" x14ac:dyDescent="0.3">
      <c r="A85" s="5">
        <v>45989</v>
      </c>
      <c r="B85" s="3">
        <v>0.58402777777777781</v>
      </c>
      <c r="C85" s="3">
        <v>0.5854166666666667</v>
      </c>
      <c r="D85" t="s">
        <v>115</v>
      </c>
      <c r="E85" t="s">
        <v>16</v>
      </c>
      <c r="F85" t="str">
        <f>LEFT(Table4[[#This Row],[direction]],1)</f>
        <v>a</v>
      </c>
      <c r="G85" t="s">
        <v>642</v>
      </c>
      <c r="H85" t="s">
        <v>134</v>
      </c>
      <c r="I85" t="s">
        <v>150</v>
      </c>
      <c r="J85" s="14" t="s">
        <v>645</v>
      </c>
      <c r="K85" t="s">
        <v>173</v>
      </c>
      <c r="L85">
        <f>IFERROR(LEFT(Table4[[#This Row],[route_codes]],FIND(";",Table4[[#This Row],[route_codes]])-1),Table4[[#This Row],[route_codes]])</f>
        <v>0</v>
      </c>
      <c r="O85" t="str">
        <f>IFERROR(LEFT(Table4[[#This Row],[point_codes]],FIND(";",Table4[[#This Row],[point_codes]])-1),Table4[[#This Row],[point_codes]])</f>
        <v>A-2</v>
      </c>
      <c r="P85" t="s">
        <v>797</v>
      </c>
      <c r="Q85">
        <f>IF(ISBLANK(Table4[[#This Row],[point_codes]]), "", LEN(Table4[[#This Row],[point_codes]])-LEN(SUBSTITUTE(Table4[[#This Row],[point_codes]],";",""))+1)</f>
        <v>1</v>
      </c>
      <c r="R85" t="s">
        <v>174</v>
      </c>
      <c r="S85" t="s">
        <v>175</v>
      </c>
      <c r="T85" t="s">
        <v>735</v>
      </c>
      <c r="U85" s="3">
        <f>Table4[[#This Row],[time_out]]-Table4[[#This Row],[time_in]]</f>
        <v>1.388888888888884E-3</v>
      </c>
    </row>
    <row r="86" spans="1:21" x14ac:dyDescent="0.3">
      <c r="A86" s="5">
        <v>45991</v>
      </c>
      <c r="B86" s="3">
        <v>0.50972222222222219</v>
      </c>
      <c r="C86" s="3">
        <v>0.51041666666666663</v>
      </c>
      <c r="D86" t="s">
        <v>176</v>
      </c>
      <c r="E86" t="s">
        <v>16</v>
      </c>
      <c r="F86" t="str">
        <f>LEFT(Table4[[#This Row],[direction]],1)</f>
        <v>b</v>
      </c>
      <c r="G86" t="s">
        <v>646</v>
      </c>
      <c r="H86" t="s">
        <v>490</v>
      </c>
      <c r="J86" s="14" t="s">
        <v>644</v>
      </c>
      <c r="K86" t="s">
        <v>177</v>
      </c>
      <c r="L86" t="str">
        <f>IFERROR(LEFT(Table4[[#This Row],[route_codes]],FIND(";",Table4[[#This Row],[route_codes]])-1),Table4[[#This Row],[route_codes]])</f>
        <v>A-d</v>
      </c>
      <c r="M86" t="s">
        <v>739</v>
      </c>
      <c r="O86" t="str">
        <f>IFERROR(LEFT(Table4[[#This Row],[point_codes]],FIND(";",Table4[[#This Row],[point_codes]])-1),Table4[[#This Row],[point_codes]])</f>
        <v>A-10</v>
      </c>
      <c r="P86" t="s">
        <v>775</v>
      </c>
      <c r="Q86">
        <f>IF(ISBLANK(Table4[[#This Row],[point_codes]]), "", LEN(Table4[[#This Row],[point_codes]])-LEN(SUBSTITUTE(Table4[[#This Row],[point_codes]],";",""))+1)</f>
        <v>1</v>
      </c>
      <c r="R86" t="s">
        <v>178</v>
      </c>
      <c r="T86" t="s">
        <v>734</v>
      </c>
      <c r="U86" s="3">
        <f>Table4[[#This Row],[time_out]]-Table4[[#This Row],[time_in]]</f>
        <v>6.9444444444444198E-4</v>
      </c>
    </row>
    <row r="87" spans="1:21" x14ac:dyDescent="0.3">
      <c r="A87" s="5">
        <v>45985</v>
      </c>
      <c r="B87" s="3">
        <v>0.47222222222222221</v>
      </c>
      <c r="C87" s="3">
        <v>0.47291666666666665</v>
      </c>
      <c r="D87" t="s">
        <v>15</v>
      </c>
      <c r="E87" t="s">
        <v>16</v>
      </c>
      <c r="F87" t="str">
        <f>LEFT(Table4[[#This Row],[direction]],1)</f>
        <v>a</v>
      </c>
      <c r="G87" t="s">
        <v>642</v>
      </c>
      <c r="H87" t="s">
        <v>134</v>
      </c>
      <c r="I87" t="s">
        <v>179</v>
      </c>
      <c r="J87" s="14" t="s">
        <v>645</v>
      </c>
      <c r="K87" t="s">
        <v>180</v>
      </c>
      <c r="L87">
        <f>IFERROR(LEFT(Table4[[#This Row],[route_codes]],FIND(";",Table4[[#This Row],[route_codes]])-1),Table4[[#This Row],[route_codes]])</f>
        <v>0</v>
      </c>
      <c r="O87" t="str">
        <f>IFERROR(LEFT(Table4[[#This Row],[point_codes]],FIND(";",Table4[[#This Row],[point_codes]])-1),Table4[[#This Row],[point_codes]])</f>
        <v>A-3</v>
      </c>
      <c r="P87" t="s">
        <v>798</v>
      </c>
      <c r="Q87">
        <f>IF(ISBLANK(Table4[[#This Row],[point_codes]]), "", LEN(Table4[[#This Row],[point_codes]])-LEN(SUBSTITUTE(Table4[[#This Row],[point_codes]],";",""))+1)</f>
        <v>2</v>
      </c>
      <c r="R87" t="s">
        <v>180</v>
      </c>
      <c r="S87" t="s">
        <v>181</v>
      </c>
      <c r="T87" t="s">
        <v>734</v>
      </c>
      <c r="U87" s="3">
        <f>Table4[[#This Row],[time_out]]-Table4[[#This Row],[time_in]]</f>
        <v>6.9444444444444198E-4</v>
      </c>
    </row>
    <row r="88" spans="1:21" x14ac:dyDescent="0.3">
      <c r="A88" s="5">
        <v>45988</v>
      </c>
      <c r="B88" s="3">
        <v>0.46875</v>
      </c>
      <c r="C88" s="3">
        <v>0.46875</v>
      </c>
      <c r="D88" t="s">
        <v>28</v>
      </c>
      <c r="E88" t="s">
        <v>16</v>
      </c>
      <c r="F88" t="str">
        <f>LEFT(Table4[[#This Row],[direction]],1)</f>
        <v>b</v>
      </c>
      <c r="G88" t="s">
        <v>646</v>
      </c>
      <c r="H88" t="s">
        <v>134</v>
      </c>
      <c r="I88" t="s">
        <v>182</v>
      </c>
      <c r="J88" s="14" t="s">
        <v>645</v>
      </c>
      <c r="K88" t="s">
        <v>158</v>
      </c>
      <c r="L88">
        <f>IFERROR(LEFT(Table4[[#This Row],[route_codes]],FIND(";",Table4[[#This Row],[route_codes]])-1),Table4[[#This Row],[route_codes]])</f>
        <v>0</v>
      </c>
      <c r="O88">
        <f>IFERROR(LEFT(Table4[[#This Row],[point_codes]],FIND(";",Table4[[#This Row],[point_codes]])-1),Table4[[#This Row],[point_codes]])</f>
        <v>0</v>
      </c>
      <c r="Q88" t="str">
        <f>IF(ISBLANK(Table4[[#This Row],[point_codes]]), "", LEN(Table4[[#This Row],[point_codes]])-LEN(SUBSTITUTE(Table4[[#This Row],[point_codes]],";",""))+1)</f>
        <v/>
      </c>
      <c r="R88" t="s">
        <v>122</v>
      </c>
      <c r="S88" t="s">
        <v>183</v>
      </c>
      <c r="T88" t="s">
        <v>736</v>
      </c>
      <c r="U88" s="3">
        <f>Table4[[#This Row],[time_out]]-Table4[[#This Row],[time_in]]</f>
        <v>0</v>
      </c>
    </row>
    <row r="89" spans="1:21" x14ac:dyDescent="0.3">
      <c r="A89" s="5">
        <v>45989</v>
      </c>
      <c r="B89" s="3">
        <v>0.58958333333333335</v>
      </c>
      <c r="C89" s="3">
        <v>0.59027777777777779</v>
      </c>
      <c r="D89" t="s">
        <v>115</v>
      </c>
      <c r="E89" t="s">
        <v>16</v>
      </c>
      <c r="F89" t="str">
        <f>LEFT(Table4[[#This Row],[direction]],1)</f>
        <v>a</v>
      </c>
      <c r="G89" t="s">
        <v>642</v>
      </c>
      <c r="H89" t="s">
        <v>134</v>
      </c>
      <c r="I89" t="s">
        <v>184</v>
      </c>
      <c r="J89" s="14" t="s">
        <v>645</v>
      </c>
      <c r="K89" t="s">
        <v>185</v>
      </c>
      <c r="L89" t="str">
        <f>IFERROR(LEFT(Table4[[#This Row],[route_codes]],FIND(";",Table4[[#This Row],[route_codes]])-1),Table4[[#This Row],[route_codes]])</f>
        <v>A-a</v>
      </c>
      <c r="M89" t="s">
        <v>703</v>
      </c>
      <c r="O89" t="str">
        <f>IFERROR(LEFT(Table4[[#This Row],[point_codes]],FIND(";",Table4[[#This Row],[point_codes]])-1),Table4[[#This Row],[point_codes]])</f>
        <v>A-2</v>
      </c>
      <c r="P89" t="s">
        <v>799</v>
      </c>
      <c r="Q89">
        <f>IF(ISBLANK(Table4[[#This Row],[point_codes]]), "", LEN(Table4[[#This Row],[point_codes]])-LEN(SUBSTITUTE(Table4[[#This Row],[point_codes]],";",""))+1)</f>
        <v>3</v>
      </c>
      <c r="R89" t="s">
        <v>186</v>
      </c>
      <c r="S89" t="s">
        <v>187</v>
      </c>
      <c r="T89" t="s">
        <v>734</v>
      </c>
      <c r="U89" s="3">
        <f>Table4[[#This Row],[time_out]]-Table4[[#This Row],[time_in]]</f>
        <v>6.9444444444444198E-4</v>
      </c>
    </row>
    <row r="90" spans="1:21" x14ac:dyDescent="0.3">
      <c r="A90" s="5"/>
      <c r="B90" s="3">
        <v>0.47916666666666669</v>
      </c>
      <c r="C90" s="3">
        <v>0.48125000000000001</v>
      </c>
      <c r="E90" t="s">
        <v>16</v>
      </c>
      <c r="F90" t="str">
        <f>LEFT(Table4[[#This Row],[direction]],1)</f>
        <v>a</v>
      </c>
      <c r="G90" t="s">
        <v>642</v>
      </c>
      <c r="H90" t="s">
        <v>643</v>
      </c>
      <c r="I90" t="s">
        <v>50</v>
      </c>
      <c r="J90" s="14" t="s">
        <v>644</v>
      </c>
      <c r="K90" t="s">
        <v>188</v>
      </c>
      <c r="L90" t="str">
        <f>IFERROR(LEFT(Table4[[#This Row],[route_codes]],FIND(";",Table4[[#This Row],[route_codes]])-1),Table4[[#This Row],[route_codes]])</f>
        <v>A-a</v>
      </c>
      <c r="M90" t="s">
        <v>703</v>
      </c>
      <c r="O90" t="str">
        <f>IFERROR(LEFT(Table4[[#This Row],[point_codes]],FIND(";",Table4[[#This Row],[point_codes]])-1),Table4[[#This Row],[point_codes]])</f>
        <v>A-3</v>
      </c>
      <c r="P90" t="s">
        <v>800</v>
      </c>
      <c r="Q90">
        <f>IF(ISBLANK(Table4[[#This Row],[point_codes]]), "", LEN(Table4[[#This Row],[point_codes]])-LEN(SUBSTITUTE(Table4[[#This Row],[point_codes]],";",""))+1)</f>
        <v>3</v>
      </c>
      <c r="R90" t="s">
        <v>188</v>
      </c>
      <c r="T90" t="s">
        <v>734</v>
      </c>
      <c r="U90" s="3">
        <f>Table4[[#This Row],[time_out]]-Table4[[#This Row],[time_in]]</f>
        <v>2.0833333333333259E-3</v>
      </c>
    </row>
    <row r="91" spans="1:21" x14ac:dyDescent="0.3">
      <c r="A91" s="5"/>
      <c r="B91" s="3">
        <v>0.4826388888888889</v>
      </c>
      <c r="C91" s="3">
        <v>0.4826388888888889</v>
      </c>
      <c r="E91" t="s">
        <v>16</v>
      </c>
      <c r="F91" t="str">
        <f>LEFT(Table4[[#This Row],[direction]],1)</f>
        <v>a</v>
      </c>
      <c r="G91" t="s">
        <v>642</v>
      </c>
      <c r="H91" t="s">
        <v>134</v>
      </c>
      <c r="I91" t="s">
        <v>189</v>
      </c>
      <c r="J91" s="14" t="s">
        <v>645</v>
      </c>
      <c r="K91" t="s">
        <v>190</v>
      </c>
      <c r="L91">
        <f>IFERROR(LEFT(Table4[[#This Row],[route_codes]],FIND(";",Table4[[#This Row],[route_codes]])-1),Table4[[#This Row],[route_codes]])</f>
        <v>0</v>
      </c>
      <c r="O91" t="str">
        <f>IFERROR(LEFT(Table4[[#This Row],[point_codes]],FIND(";",Table4[[#This Row],[point_codes]])-1),Table4[[#This Row],[point_codes]])</f>
        <v>A-3</v>
      </c>
      <c r="P91" t="s">
        <v>795</v>
      </c>
      <c r="Q91">
        <f>IF(ISBLANK(Table4[[#This Row],[point_codes]]), "", LEN(Table4[[#This Row],[point_codes]])-LEN(SUBSTITUTE(Table4[[#This Row],[point_codes]],";",""))+1)</f>
        <v>1</v>
      </c>
      <c r="R91" t="s">
        <v>122</v>
      </c>
      <c r="T91" t="s">
        <v>735</v>
      </c>
      <c r="U91" s="3">
        <f>Table4[[#This Row],[time_out]]-Table4[[#This Row],[time_in]]</f>
        <v>0</v>
      </c>
    </row>
    <row r="92" spans="1:21" x14ac:dyDescent="0.3">
      <c r="A92" s="5"/>
      <c r="B92" s="3">
        <v>0.4861111111111111</v>
      </c>
      <c r="C92" s="3">
        <v>0.4861111111111111</v>
      </c>
      <c r="E92" t="s">
        <v>16</v>
      </c>
      <c r="F92" t="str">
        <f>LEFT(Table4[[#This Row],[direction]],1)</f>
        <v>a</v>
      </c>
      <c r="G92" t="s">
        <v>642</v>
      </c>
      <c r="H92" t="s">
        <v>643</v>
      </c>
      <c r="I92" t="s">
        <v>191</v>
      </c>
      <c r="J92" s="14" t="s">
        <v>645</v>
      </c>
      <c r="K92" t="s">
        <v>160</v>
      </c>
      <c r="L92">
        <f>IFERROR(LEFT(Table4[[#This Row],[route_codes]],FIND(";",Table4[[#This Row],[route_codes]])-1),Table4[[#This Row],[route_codes]])</f>
        <v>0</v>
      </c>
      <c r="O92">
        <f>IFERROR(LEFT(Table4[[#This Row],[point_codes]],FIND(";",Table4[[#This Row],[point_codes]])-1),Table4[[#This Row],[point_codes]])</f>
        <v>0</v>
      </c>
      <c r="Q92" t="str">
        <f>IF(ISBLANK(Table4[[#This Row],[point_codes]]), "", LEN(Table4[[#This Row],[point_codes]])-LEN(SUBSTITUTE(Table4[[#This Row],[point_codes]],";",""))+1)</f>
        <v/>
      </c>
      <c r="R92" t="s">
        <v>122</v>
      </c>
      <c r="S92" t="s">
        <v>192</v>
      </c>
      <c r="T92" t="s">
        <v>736</v>
      </c>
      <c r="U92" s="3">
        <f>Table4[[#This Row],[time_out]]-Table4[[#This Row],[time_in]]</f>
        <v>0</v>
      </c>
    </row>
    <row r="93" spans="1:21" x14ac:dyDescent="0.3">
      <c r="A93" s="5"/>
      <c r="B93" s="3">
        <v>0.47222222222222221</v>
      </c>
      <c r="C93" s="3">
        <v>0.47569444444444442</v>
      </c>
      <c r="E93" t="s">
        <v>16</v>
      </c>
      <c r="F93" t="str">
        <f>LEFT(Table4[[#This Row],[direction]],1)</f>
        <v>b</v>
      </c>
      <c r="G93" t="s">
        <v>646</v>
      </c>
      <c r="H93" t="s">
        <v>490</v>
      </c>
      <c r="J93" s="14" t="s">
        <v>645</v>
      </c>
      <c r="K93" t="s">
        <v>193</v>
      </c>
      <c r="L93">
        <f>IFERROR(LEFT(Table4[[#This Row],[route_codes]],FIND(";",Table4[[#This Row],[route_codes]])-1),Table4[[#This Row],[route_codes]])</f>
        <v>0</v>
      </c>
      <c r="O93" t="str">
        <f>IFERROR(LEFT(Table4[[#This Row],[point_codes]],FIND(";",Table4[[#This Row],[point_codes]])-1),Table4[[#This Row],[point_codes]])</f>
        <v>A-9</v>
      </c>
      <c r="P93" t="s">
        <v>796</v>
      </c>
      <c r="Q93">
        <f>IF(ISBLANK(Table4[[#This Row],[point_codes]]), "", LEN(Table4[[#This Row],[point_codes]])-LEN(SUBSTITUTE(Table4[[#This Row],[point_codes]],";",""))+1)</f>
        <v>3</v>
      </c>
      <c r="T93" t="s">
        <v>734</v>
      </c>
      <c r="U93" s="3">
        <f>Table4[[#This Row],[time_out]]-Table4[[#This Row],[time_in]]</f>
        <v>3.4722222222222099E-3</v>
      </c>
    </row>
    <row r="94" spans="1:21" x14ac:dyDescent="0.3">
      <c r="A94" s="5">
        <v>45988</v>
      </c>
      <c r="B94" s="3">
        <v>0.47569444444444442</v>
      </c>
      <c r="C94" s="3">
        <v>0.47638888888888886</v>
      </c>
      <c r="D94" t="s">
        <v>15</v>
      </c>
      <c r="E94" t="s">
        <v>16</v>
      </c>
      <c r="F94" t="str">
        <f>LEFT(Table4[[#This Row],[direction]],1)</f>
        <v>b</v>
      </c>
      <c r="G94" t="s">
        <v>646</v>
      </c>
      <c r="H94" t="s">
        <v>134</v>
      </c>
      <c r="I94" t="s">
        <v>194</v>
      </c>
      <c r="J94" s="14" t="s">
        <v>645</v>
      </c>
      <c r="K94" t="s">
        <v>195</v>
      </c>
      <c r="L94">
        <f>IFERROR(LEFT(Table4[[#This Row],[route_codes]],FIND(";",Table4[[#This Row],[route_codes]])-1),Table4[[#This Row],[route_codes]])</f>
        <v>0</v>
      </c>
      <c r="O94" t="str">
        <f>IFERROR(LEFT(Table4[[#This Row],[point_codes]],FIND(";",Table4[[#This Row],[point_codes]])-1),Table4[[#This Row],[point_codes]])</f>
        <v>A-7</v>
      </c>
      <c r="P94" t="s">
        <v>786</v>
      </c>
      <c r="Q94">
        <f>IF(ISBLANK(Table4[[#This Row],[point_codes]]), "", LEN(Table4[[#This Row],[point_codes]])-LEN(SUBSTITUTE(Table4[[#This Row],[point_codes]],";",""))+1)</f>
        <v>1</v>
      </c>
      <c r="R94" t="s">
        <v>196</v>
      </c>
      <c r="T94" t="s">
        <v>734</v>
      </c>
      <c r="U94" s="3">
        <f>Table4[[#This Row],[time_out]]-Table4[[#This Row],[time_in]]</f>
        <v>6.9444444444444198E-4</v>
      </c>
    </row>
    <row r="95" spans="1:21" x14ac:dyDescent="0.3">
      <c r="A95" s="5">
        <v>45988</v>
      </c>
      <c r="B95" s="3">
        <v>0.4375</v>
      </c>
      <c r="C95" s="3">
        <v>0.43819444444444444</v>
      </c>
      <c r="D95" t="s">
        <v>15</v>
      </c>
      <c r="E95" t="s">
        <v>16</v>
      </c>
      <c r="F95" t="str">
        <f>LEFT(Table4[[#This Row],[direction]],1)</f>
        <v>a</v>
      </c>
      <c r="G95" t="s">
        <v>642</v>
      </c>
      <c r="H95" t="s">
        <v>490</v>
      </c>
      <c r="I95" t="s">
        <v>197</v>
      </c>
      <c r="J95" s="14" t="s">
        <v>645</v>
      </c>
      <c r="K95" t="s">
        <v>160</v>
      </c>
      <c r="L95">
        <f>IFERROR(LEFT(Table4[[#This Row],[route_codes]],FIND(";",Table4[[#This Row],[route_codes]])-1),Table4[[#This Row],[route_codes]])</f>
        <v>0</v>
      </c>
      <c r="O95">
        <f>IFERROR(LEFT(Table4[[#This Row],[point_codes]],FIND(";",Table4[[#This Row],[point_codes]])-1),Table4[[#This Row],[point_codes]])</f>
        <v>0</v>
      </c>
      <c r="Q95" t="str">
        <f>IF(ISBLANK(Table4[[#This Row],[point_codes]]), "", LEN(Table4[[#This Row],[point_codes]])-LEN(SUBSTITUTE(Table4[[#This Row],[point_codes]],";",""))+1)</f>
        <v/>
      </c>
      <c r="R95" t="s">
        <v>122</v>
      </c>
      <c r="T95" t="s">
        <v>736</v>
      </c>
      <c r="U95" s="3">
        <f>Table4[[#This Row],[time_out]]-Table4[[#This Row],[time_in]]</f>
        <v>6.9444444444444198E-4</v>
      </c>
    </row>
    <row r="96" spans="1:21" x14ac:dyDescent="0.3">
      <c r="A96" s="5">
        <v>45984</v>
      </c>
      <c r="B96" s="3">
        <v>0.60624999999999996</v>
      </c>
      <c r="C96" s="3">
        <v>0.6069444444444444</v>
      </c>
      <c r="D96" t="s">
        <v>15</v>
      </c>
      <c r="E96" t="s">
        <v>16</v>
      </c>
      <c r="F96" t="str">
        <f>LEFT(Table4[[#This Row],[direction]],1)</f>
        <v>b</v>
      </c>
      <c r="G96" t="s">
        <v>646</v>
      </c>
      <c r="H96" t="s">
        <v>134</v>
      </c>
      <c r="J96" s="14" t="s">
        <v>312</v>
      </c>
      <c r="K96" t="s">
        <v>198</v>
      </c>
      <c r="L96">
        <f>IFERROR(LEFT(Table4[[#This Row],[route_codes]],FIND(";",Table4[[#This Row],[route_codes]])-1),Table4[[#This Row],[route_codes]])</f>
        <v>0</v>
      </c>
      <c r="O96" t="str">
        <f>IFERROR(LEFT(Table4[[#This Row],[point_codes]],FIND(";",Table4[[#This Row],[point_codes]])-1),Table4[[#This Row],[point_codes]])</f>
        <v>A-3</v>
      </c>
      <c r="P96" t="s">
        <v>795</v>
      </c>
      <c r="Q96">
        <f>IF(ISBLANK(Table4[[#This Row],[point_codes]]), "", LEN(Table4[[#This Row],[point_codes]])-LEN(SUBSTITUTE(Table4[[#This Row],[point_codes]],";",""))+1)</f>
        <v>1</v>
      </c>
      <c r="R96" t="s">
        <v>198</v>
      </c>
      <c r="T96" t="s">
        <v>735</v>
      </c>
      <c r="U96" s="3">
        <f>Table4[[#This Row],[time_out]]-Table4[[#This Row],[time_in]]</f>
        <v>6.9444444444444198E-4</v>
      </c>
    </row>
    <row r="97" spans="1:21" x14ac:dyDescent="0.3">
      <c r="A97" s="5">
        <v>45973</v>
      </c>
      <c r="B97" s="3">
        <v>0.47847222222222224</v>
      </c>
      <c r="C97" s="3">
        <v>0.4826388888888889</v>
      </c>
      <c r="D97" t="s">
        <v>15</v>
      </c>
      <c r="E97" t="s">
        <v>16</v>
      </c>
      <c r="F97" t="str">
        <f>LEFT(Table4[[#This Row],[direction]],1)</f>
        <v>a</v>
      </c>
      <c r="G97" t="s">
        <v>642</v>
      </c>
      <c r="H97" t="s">
        <v>134</v>
      </c>
      <c r="I97" t="s">
        <v>199</v>
      </c>
      <c r="J97" s="14" t="s">
        <v>645</v>
      </c>
      <c r="K97" t="s">
        <v>200</v>
      </c>
      <c r="L97" t="str">
        <f>IFERROR(LEFT(Table4[[#This Row],[route_codes]],FIND(";",Table4[[#This Row],[route_codes]])-1),Table4[[#This Row],[route_codes]])</f>
        <v>A-a</v>
      </c>
      <c r="M97" t="s">
        <v>782</v>
      </c>
      <c r="O97" t="str">
        <f>IFERROR(LEFT(Table4[[#This Row],[point_codes]],FIND(";",Table4[[#This Row],[point_codes]])-1),Table4[[#This Row],[point_codes]])</f>
        <v>A-3</v>
      </c>
      <c r="P97" t="s">
        <v>801</v>
      </c>
      <c r="Q97">
        <f>IF(ISBLANK(Table4[[#This Row],[point_codes]]), "", LEN(Table4[[#This Row],[point_codes]])-LEN(SUBSTITUTE(Table4[[#This Row],[point_codes]],";",""))+1)</f>
        <v>5</v>
      </c>
      <c r="R97" t="s">
        <v>201</v>
      </c>
      <c r="T97" t="s">
        <v>734</v>
      </c>
      <c r="U97" s="3">
        <f>Table4[[#This Row],[time_out]]-Table4[[#This Row],[time_in]]</f>
        <v>4.1666666666666519E-3</v>
      </c>
    </row>
    <row r="98" spans="1:21" x14ac:dyDescent="0.3">
      <c r="A98" s="5">
        <v>45980</v>
      </c>
      <c r="B98" s="3">
        <v>0.58333333333333337</v>
      </c>
      <c r="C98" s="3">
        <v>0.58680555555555558</v>
      </c>
      <c r="D98" t="s">
        <v>15</v>
      </c>
      <c r="E98" t="s">
        <v>16</v>
      </c>
      <c r="F98" t="str">
        <f>LEFT(Table4[[#This Row],[direction]],1)</f>
        <v>b</v>
      </c>
      <c r="G98" t="s">
        <v>646</v>
      </c>
      <c r="H98" t="s">
        <v>643</v>
      </c>
      <c r="I98" t="s">
        <v>202</v>
      </c>
      <c r="J98" s="14" t="s">
        <v>645</v>
      </c>
      <c r="K98" t="s">
        <v>203</v>
      </c>
      <c r="L98" t="str">
        <f>IFERROR(LEFT(Table4[[#This Row],[route_codes]],FIND(";",Table4[[#This Row],[route_codes]])-1),Table4[[#This Row],[route_codes]])</f>
        <v>A-c</v>
      </c>
      <c r="M98" t="s">
        <v>713</v>
      </c>
      <c r="O98" t="str">
        <f>IFERROR(LEFT(Table4[[#This Row],[point_codes]],FIND(";",Table4[[#This Row],[point_codes]])-1),Table4[[#This Row],[point_codes]])</f>
        <v>B-7</v>
      </c>
      <c r="P98" t="s">
        <v>802</v>
      </c>
      <c r="Q98">
        <f>IF(ISBLANK(Table4[[#This Row],[point_codes]]), "", LEN(Table4[[#This Row],[point_codes]])-LEN(SUBSTITUTE(Table4[[#This Row],[point_codes]],";",""))+1)</f>
        <v>3</v>
      </c>
      <c r="R98" t="s">
        <v>204</v>
      </c>
      <c r="T98" t="s">
        <v>734</v>
      </c>
      <c r="U98" s="3">
        <f>Table4[[#This Row],[time_out]]-Table4[[#This Row],[time_in]]</f>
        <v>3.4722222222222099E-3</v>
      </c>
    </row>
    <row r="99" spans="1:21" x14ac:dyDescent="0.3">
      <c r="A99" s="5">
        <v>45980</v>
      </c>
      <c r="B99" s="3">
        <v>0.59444444444444444</v>
      </c>
      <c r="C99" s="3">
        <v>0.59583333333333333</v>
      </c>
      <c r="D99" t="s">
        <v>15</v>
      </c>
      <c r="E99" t="s">
        <v>16</v>
      </c>
      <c r="F99" t="str">
        <f>LEFT(Table4[[#This Row],[direction]],1)</f>
        <v>b</v>
      </c>
      <c r="G99" t="s">
        <v>646</v>
      </c>
      <c r="H99" t="s">
        <v>134</v>
      </c>
      <c r="I99" t="s">
        <v>205</v>
      </c>
      <c r="J99" s="14" t="s">
        <v>645</v>
      </c>
      <c r="K99" t="s">
        <v>206</v>
      </c>
      <c r="L99" t="str">
        <f>IFERROR(LEFT(Table4[[#This Row],[route_codes]],FIND(";",Table4[[#This Row],[route_codes]])-1),Table4[[#This Row],[route_codes]])</f>
        <v>A-d</v>
      </c>
      <c r="M99" t="s">
        <v>739</v>
      </c>
      <c r="O99" t="str">
        <f>IFERROR(LEFT(Table4[[#This Row],[point_codes]],FIND(";",Table4[[#This Row],[point_codes]])-1),Table4[[#This Row],[point_codes]])</f>
        <v>A-7</v>
      </c>
      <c r="P99" t="s">
        <v>803</v>
      </c>
      <c r="Q99">
        <f>IF(ISBLANK(Table4[[#This Row],[point_codes]]), "", LEN(Table4[[#This Row],[point_codes]])-LEN(SUBSTITUTE(Table4[[#This Row],[point_codes]],";",""))+1)</f>
        <v>4</v>
      </c>
      <c r="R99" t="s">
        <v>206</v>
      </c>
      <c r="T99" t="s">
        <v>734</v>
      </c>
      <c r="U99" s="3">
        <f>Table4[[#This Row],[time_out]]-Table4[[#This Row],[time_in]]</f>
        <v>1.388888888888884E-3</v>
      </c>
    </row>
    <row r="100" spans="1:21" x14ac:dyDescent="0.3">
      <c r="A100" s="5"/>
      <c r="B100" s="3">
        <v>0.49930555555555556</v>
      </c>
      <c r="C100" s="3">
        <v>0.50277777777777777</v>
      </c>
      <c r="E100" t="s">
        <v>16</v>
      </c>
      <c r="F100" t="str">
        <f>LEFT(Table4[[#This Row],[direction]],1)</f>
        <v>a</v>
      </c>
      <c r="G100" t="s">
        <v>642</v>
      </c>
      <c r="H100" t="s">
        <v>134</v>
      </c>
      <c r="I100" t="s">
        <v>207</v>
      </c>
      <c r="J100" s="14" t="s">
        <v>645</v>
      </c>
      <c r="K100" t="s">
        <v>208</v>
      </c>
      <c r="L100" t="str">
        <f>IFERROR(LEFT(Table4[[#This Row],[route_codes]],FIND(";",Table4[[#This Row],[route_codes]])-1),Table4[[#This Row],[route_codes]])</f>
        <v>A-a</v>
      </c>
      <c r="M100" t="s">
        <v>703</v>
      </c>
      <c r="O100" t="str">
        <f>IFERROR(LEFT(Table4[[#This Row],[point_codes]],FIND(";",Table4[[#This Row],[point_codes]])-1),Table4[[#This Row],[point_codes]])</f>
        <v>A-3</v>
      </c>
      <c r="P100" t="s">
        <v>804</v>
      </c>
      <c r="Q100">
        <f>IF(ISBLANK(Table4[[#This Row],[point_codes]]), "", LEN(Table4[[#This Row],[point_codes]])-LEN(SUBSTITUTE(Table4[[#This Row],[point_codes]],";",""))+1)</f>
        <v>3</v>
      </c>
      <c r="R100" t="s">
        <v>209</v>
      </c>
      <c r="S100" t="s">
        <v>210</v>
      </c>
      <c r="T100" t="s">
        <v>734</v>
      </c>
      <c r="U100" s="3">
        <f>Table4[[#This Row],[time_out]]-Table4[[#This Row],[time_in]]</f>
        <v>3.4722222222222099E-3</v>
      </c>
    </row>
    <row r="101" spans="1:21" x14ac:dyDescent="0.3">
      <c r="A101" s="5">
        <v>45991</v>
      </c>
      <c r="B101" s="3">
        <v>0.5805555555555556</v>
      </c>
      <c r="C101" s="3">
        <v>0.5805555555555556</v>
      </c>
      <c r="D101" t="s">
        <v>147</v>
      </c>
      <c r="E101" t="s">
        <v>16</v>
      </c>
      <c r="F101" t="str">
        <f>LEFT(Table4[[#This Row],[direction]],1)</f>
        <v>b</v>
      </c>
      <c r="G101" t="s">
        <v>647</v>
      </c>
      <c r="H101" t="s">
        <v>643</v>
      </c>
      <c r="J101" s="14" t="s">
        <v>645</v>
      </c>
      <c r="K101" t="s">
        <v>212</v>
      </c>
      <c r="L101">
        <f>IFERROR(LEFT(Table4[[#This Row],[route_codes]],FIND(";",Table4[[#This Row],[route_codes]])-1),Table4[[#This Row],[route_codes]])</f>
        <v>0</v>
      </c>
      <c r="O101">
        <f>IFERROR(LEFT(Table4[[#This Row],[point_codes]],FIND(";",Table4[[#This Row],[point_codes]])-1),Table4[[#This Row],[point_codes]])</f>
        <v>0</v>
      </c>
      <c r="Q101" t="str">
        <f>IF(ISBLANK(Table4[[#This Row],[point_codes]]), "", LEN(Table4[[#This Row],[point_codes]])-LEN(SUBSTITUTE(Table4[[#This Row],[point_codes]],";",""))+1)</f>
        <v/>
      </c>
      <c r="T101" t="s">
        <v>736</v>
      </c>
      <c r="U101" s="3">
        <f>Table4[[#This Row],[time_out]]-Table4[[#This Row],[time_in]]</f>
        <v>0</v>
      </c>
    </row>
    <row r="102" spans="1:21" x14ac:dyDescent="0.3">
      <c r="A102" s="5">
        <v>45991</v>
      </c>
      <c r="B102" s="3">
        <v>0.58125000000000004</v>
      </c>
      <c r="C102" s="3">
        <v>0.58333333333333337</v>
      </c>
      <c r="D102" t="s">
        <v>147</v>
      </c>
      <c r="E102" t="s">
        <v>16</v>
      </c>
      <c r="F102" t="str">
        <f>LEFT(Table4[[#This Row],[direction]],1)</f>
        <v>a</v>
      </c>
      <c r="G102" t="s">
        <v>642</v>
      </c>
      <c r="H102" t="s">
        <v>134</v>
      </c>
      <c r="J102" s="14" t="s">
        <v>645</v>
      </c>
      <c r="K102" t="s">
        <v>214</v>
      </c>
      <c r="L102" t="str">
        <f>IFERROR(LEFT(Table4[[#This Row],[route_codes]],FIND(";",Table4[[#This Row],[route_codes]])-1),Table4[[#This Row],[route_codes]])</f>
        <v>A-a</v>
      </c>
      <c r="M102" t="s">
        <v>703</v>
      </c>
      <c r="O102" t="str">
        <f>IFERROR(LEFT(Table4[[#This Row],[point_codes]],FIND(";",Table4[[#This Row],[point_codes]])-1),Table4[[#This Row],[point_codes]])</f>
        <v>A-3</v>
      </c>
      <c r="P102" t="s">
        <v>805</v>
      </c>
      <c r="Q102">
        <f>IF(ISBLANK(Table4[[#This Row],[point_codes]]), "", LEN(Table4[[#This Row],[point_codes]])-LEN(SUBSTITUTE(Table4[[#This Row],[point_codes]],";",""))+1)</f>
        <v>2</v>
      </c>
      <c r="R102" t="s">
        <v>215</v>
      </c>
      <c r="T102" t="s">
        <v>734</v>
      </c>
      <c r="U102" s="3">
        <f>Table4[[#This Row],[time_out]]-Table4[[#This Row],[time_in]]</f>
        <v>2.0833333333333259E-3</v>
      </c>
    </row>
    <row r="103" spans="1:21" x14ac:dyDescent="0.3">
      <c r="A103" s="5">
        <v>45988</v>
      </c>
      <c r="B103" s="3">
        <v>0.46111111111111114</v>
      </c>
      <c r="C103" s="3">
        <v>0.46180555555555558</v>
      </c>
      <c r="D103" t="s">
        <v>28</v>
      </c>
      <c r="E103" t="s">
        <v>16</v>
      </c>
      <c r="F103" t="str">
        <f>LEFT(Table4[[#This Row],[direction]],1)</f>
        <v>a</v>
      </c>
      <c r="G103" t="s">
        <v>642</v>
      </c>
      <c r="H103" t="s">
        <v>134</v>
      </c>
      <c r="I103" t="s">
        <v>216</v>
      </c>
      <c r="J103" s="14" t="b">
        <v>0</v>
      </c>
      <c r="K103" t="s">
        <v>217</v>
      </c>
      <c r="L103">
        <f>IFERROR(LEFT(Table4[[#This Row],[route_codes]],FIND(";",Table4[[#This Row],[route_codes]])-1),Table4[[#This Row],[route_codes]])</f>
        <v>0</v>
      </c>
      <c r="O103" t="str">
        <f>IFERROR(LEFT(Table4[[#This Row],[point_codes]],FIND(";",Table4[[#This Row],[point_codes]])-1),Table4[[#This Row],[point_codes]])</f>
        <v>A-3</v>
      </c>
      <c r="P103" t="s">
        <v>795</v>
      </c>
      <c r="Q103">
        <f>IF(ISBLANK(Table4[[#This Row],[point_codes]]), "", LEN(Table4[[#This Row],[point_codes]])-LEN(SUBSTITUTE(Table4[[#This Row],[point_codes]],";",""))+1)</f>
        <v>1</v>
      </c>
      <c r="R103" t="s">
        <v>218</v>
      </c>
      <c r="T103" t="s">
        <v>734</v>
      </c>
      <c r="U103" s="3">
        <f>Table4[[#This Row],[time_out]]-Table4[[#This Row],[time_in]]</f>
        <v>6.9444444444444198E-4</v>
      </c>
    </row>
    <row r="104" spans="1:21" x14ac:dyDescent="0.3">
      <c r="A104" s="5"/>
      <c r="B104" s="3">
        <v>0.49166666666666664</v>
      </c>
      <c r="C104" s="3">
        <v>0.49166666666666664</v>
      </c>
      <c r="E104" t="s">
        <v>16</v>
      </c>
      <c r="F104" t="str">
        <f>LEFT(Table4[[#This Row],[direction]],1)</f>
        <v>a</v>
      </c>
      <c r="G104" t="s">
        <v>642</v>
      </c>
      <c r="H104" t="s">
        <v>134</v>
      </c>
      <c r="I104" t="s">
        <v>219</v>
      </c>
      <c r="J104" s="14" t="s">
        <v>645</v>
      </c>
      <c r="K104" t="s">
        <v>221</v>
      </c>
      <c r="L104" t="str">
        <f>IFERROR(LEFT(Table4[[#This Row],[route_codes]],FIND(";",Table4[[#This Row],[route_codes]])-1),Table4[[#This Row],[route_codes]])</f>
        <v>A-a</v>
      </c>
      <c r="M104" t="s">
        <v>703</v>
      </c>
      <c r="O104" t="str">
        <f>IFERROR(LEFT(Table4[[#This Row],[point_codes]],FIND(";",Table4[[#This Row],[point_codes]])-1),Table4[[#This Row],[point_codes]])</f>
        <v>A-3</v>
      </c>
      <c r="P104" t="s">
        <v>806</v>
      </c>
      <c r="Q104">
        <f>IF(ISBLANK(Table4[[#This Row],[point_codes]]), "", LEN(Table4[[#This Row],[point_codes]])-LEN(SUBSTITUTE(Table4[[#This Row],[point_codes]],";",""))+1)</f>
        <v>3</v>
      </c>
      <c r="R104" t="s">
        <v>222</v>
      </c>
      <c r="S104" t="s">
        <v>223</v>
      </c>
      <c r="T104" t="s">
        <v>735</v>
      </c>
      <c r="U104" s="3">
        <f>Table4[[#This Row],[time_out]]-Table4[[#This Row],[time_in]]</f>
        <v>0</v>
      </c>
    </row>
    <row r="105" spans="1:21" x14ac:dyDescent="0.3">
      <c r="A105" s="5">
        <v>45991</v>
      </c>
      <c r="B105" s="3">
        <v>0.59097222222222223</v>
      </c>
      <c r="C105" s="3">
        <v>0.59513888888888888</v>
      </c>
      <c r="D105" t="s">
        <v>147</v>
      </c>
      <c r="E105" t="s">
        <v>16</v>
      </c>
      <c r="F105" t="str">
        <f>LEFT(Table4[[#This Row],[direction]],1)</f>
        <v>b</v>
      </c>
      <c r="G105" t="s">
        <v>646</v>
      </c>
      <c r="H105" t="s">
        <v>134</v>
      </c>
      <c r="I105" t="s">
        <v>224</v>
      </c>
      <c r="J105" s="14" t="s">
        <v>645</v>
      </c>
      <c r="K105" t="s">
        <v>226</v>
      </c>
      <c r="L105" t="str">
        <f>IFERROR(LEFT(Table4[[#This Row],[route_codes]],FIND(";",Table4[[#This Row],[route_codes]])-1),Table4[[#This Row],[route_codes]])</f>
        <v>A-d</v>
      </c>
      <c r="M105" t="s">
        <v>707</v>
      </c>
      <c r="O105" t="str">
        <f>IFERROR(LEFT(Table4[[#This Row],[point_codes]],FIND(";",Table4[[#This Row],[point_codes]])-1),Table4[[#This Row],[point_codes]])</f>
        <v>B-7</v>
      </c>
      <c r="P105" t="s">
        <v>807</v>
      </c>
      <c r="Q105">
        <f>IF(ISBLANK(Table4[[#This Row],[point_codes]]), "", LEN(Table4[[#This Row],[point_codes]])-LEN(SUBSTITUTE(Table4[[#This Row],[point_codes]],";",""))+1)</f>
        <v>6</v>
      </c>
      <c r="R105" t="s">
        <v>227</v>
      </c>
      <c r="S105" t="s">
        <v>228</v>
      </c>
      <c r="T105" t="s">
        <v>734</v>
      </c>
      <c r="U105" s="3">
        <f>Table4[[#This Row],[time_out]]-Table4[[#This Row],[time_in]]</f>
        <v>4.1666666666666519E-3</v>
      </c>
    </row>
    <row r="106" spans="1:21" x14ac:dyDescent="0.3">
      <c r="A106" s="5"/>
      <c r="B106" s="3">
        <v>0.50277777777777777</v>
      </c>
      <c r="C106" s="3">
        <v>0.50416666666666665</v>
      </c>
      <c r="E106" t="s">
        <v>16</v>
      </c>
      <c r="F106" t="str">
        <f>LEFT(Table4[[#This Row],[direction]],1)</f>
        <v>b</v>
      </c>
      <c r="G106" t="s">
        <v>646</v>
      </c>
      <c r="H106" t="s">
        <v>134</v>
      </c>
      <c r="I106" t="s">
        <v>229</v>
      </c>
      <c r="J106" s="14" t="s">
        <v>645</v>
      </c>
      <c r="K106" t="s">
        <v>230</v>
      </c>
      <c r="L106" t="str">
        <f>IFERROR(LEFT(Table4[[#This Row],[route_codes]],FIND(";",Table4[[#This Row],[route_codes]])-1),Table4[[#This Row],[route_codes]])</f>
        <v>A-c</v>
      </c>
      <c r="M106" t="s">
        <v>713</v>
      </c>
      <c r="O106" t="str">
        <f>IFERROR(LEFT(Table4[[#This Row],[point_codes]],FIND(";",Table4[[#This Row],[point_codes]])-1),Table4[[#This Row],[point_codes]])</f>
        <v>A-9</v>
      </c>
      <c r="P106" t="s">
        <v>796</v>
      </c>
      <c r="Q106">
        <f>IF(ISBLANK(Table4[[#This Row],[point_codes]]), "", LEN(Table4[[#This Row],[point_codes]])-LEN(SUBSTITUTE(Table4[[#This Row],[point_codes]],";",""))+1)</f>
        <v>3</v>
      </c>
      <c r="R106" t="s">
        <v>231</v>
      </c>
      <c r="T106" t="s">
        <v>735</v>
      </c>
      <c r="U106" s="3">
        <f>Table4[[#This Row],[time_out]]-Table4[[#This Row],[time_in]]</f>
        <v>1.388888888888884E-3</v>
      </c>
    </row>
    <row r="107" spans="1:21" x14ac:dyDescent="0.3">
      <c r="A107" s="5">
        <v>45988</v>
      </c>
      <c r="B107" s="3">
        <v>0.50972222222222219</v>
      </c>
      <c r="C107" s="3">
        <v>0.5131944444444444</v>
      </c>
      <c r="D107" t="s">
        <v>28</v>
      </c>
      <c r="E107" t="s">
        <v>16</v>
      </c>
      <c r="F107" t="str">
        <f>LEFT(Table4[[#This Row],[direction]],1)</f>
        <v>a</v>
      </c>
      <c r="G107" t="s">
        <v>642</v>
      </c>
      <c r="H107" t="s">
        <v>643</v>
      </c>
      <c r="I107" t="s">
        <v>232</v>
      </c>
      <c r="J107" s="14" t="b">
        <v>0</v>
      </c>
      <c r="K107" t="s">
        <v>233</v>
      </c>
      <c r="L107" t="str">
        <f>IFERROR(LEFT(Table4[[#This Row],[route_codes]],FIND(";",Table4[[#This Row],[route_codes]])-1),Table4[[#This Row],[route_codes]])</f>
        <v>A-a</v>
      </c>
      <c r="M107" t="s">
        <v>703</v>
      </c>
      <c r="O107" t="str">
        <f>IFERROR(LEFT(Table4[[#This Row],[point_codes]],FIND(";",Table4[[#This Row],[point_codes]])-1),Table4[[#This Row],[point_codes]])</f>
        <v>A-4</v>
      </c>
      <c r="P107" t="s">
        <v>808</v>
      </c>
      <c r="Q107">
        <f>IF(ISBLANK(Table4[[#This Row],[point_codes]]), "", LEN(Table4[[#This Row],[point_codes]])-LEN(SUBSTITUTE(Table4[[#This Row],[point_codes]],";",""))+1)</f>
        <v>4</v>
      </c>
      <c r="R107" t="s">
        <v>234</v>
      </c>
      <c r="T107" t="s">
        <v>734</v>
      </c>
      <c r="U107" s="3">
        <f>Table4[[#This Row],[time_out]]-Table4[[#This Row],[time_in]]</f>
        <v>3.4722222222222099E-3</v>
      </c>
    </row>
    <row r="108" spans="1:21" x14ac:dyDescent="0.3">
      <c r="A108" s="5">
        <v>45988</v>
      </c>
      <c r="B108" s="3">
        <v>0.50624999999999998</v>
      </c>
      <c r="C108" s="3">
        <v>0.51111111111111107</v>
      </c>
      <c r="D108" t="s">
        <v>28</v>
      </c>
      <c r="E108" t="s">
        <v>16</v>
      </c>
      <c r="F108" t="str">
        <f>LEFT(Table4[[#This Row],[direction]],1)</f>
        <v>a</v>
      </c>
      <c r="G108" t="s">
        <v>642</v>
      </c>
      <c r="H108" t="s">
        <v>134</v>
      </c>
      <c r="I108" t="s">
        <v>236</v>
      </c>
      <c r="J108" s="14" t="b">
        <v>0</v>
      </c>
      <c r="K108" t="s">
        <v>237</v>
      </c>
      <c r="L108" t="str">
        <f>IFERROR(LEFT(Table4[[#This Row],[route_codes]],FIND(";",Table4[[#This Row],[route_codes]])-1),Table4[[#This Row],[route_codes]])</f>
        <v>A-a</v>
      </c>
      <c r="M108" t="s">
        <v>703</v>
      </c>
      <c r="O108" t="str">
        <f>IFERROR(LEFT(Table4[[#This Row],[point_codes]],FIND(";",Table4[[#This Row],[point_codes]])-1),Table4[[#This Row],[point_codes]])</f>
        <v>A-4</v>
      </c>
      <c r="P108" t="s">
        <v>809</v>
      </c>
      <c r="Q108">
        <f>IF(ISBLANK(Table4[[#This Row],[point_codes]]), "", LEN(Table4[[#This Row],[point_codes]])-LEN(SUBSTITUTE(Table4[[#This Row],[point_codes]],";",""))+1)</f>
        <v>5</v>
      </c>
      <c r="R108" t="s">
        <v>238</v>
      </c>
      <c r="S108" t="s">
        <v>239</v>
      </c>
      <c r="T108" t="s">
        <v>734</v>
      </c>
      <c r="U108" s="3">
        <f>Table4[[#This Row],[time_out]]-Table4[[#This Row],[time_in]]</f>
        <v>4.8611111111110938E-3</v>
      </c>
    </row>
    <row r="109" spans="1:21" x14ac:dyDescent="0.3">
      <c r="A109" s="5">
        <v>45991</v>
      </c>
      <c r="B109" s="3">
        <v>0.56527777777777777</v>
      </c>
      <c r="C109" s="3">
        <v>0.56527777777777777</v>
      </c>
      <c r="D109" t="s">
        <v>147</v>
      </c>
      <c r="E109" t="s">
        <v>16</v>
      </c>
      <c r="F109" t="str">
        <f>LEFT(Table4[[#This Row],[direction]],1)</f>
        <v>a</v>
      </c>
      <c r="G109" t="s">
        <v>642</v>
      </c>
      <c r="H109" t="s">
        <v>134</v>
      </c>
      <c r="I109" t="s">
        <v>240</v>
      </c>
      <c r="J109" s="14" t="s">
        <v>645</v>
      </c>
      <c r="K109" t="s">
        <v>241</v>
      </c>
      <c r="L109" t="str">
        <f>IFERROR(LEFT(Table4[[#This Row],[route_codes]],FIND(";",Table4[[#This Row],[route_codes]])-1),Table4[[#This Row],[route_codes]])</f>
        <v>A-a</v>
      </c>
      <c r="M109" t="s">
        <v>703</v>
      </c>
      <c r="O109" t="str">
        <f>IFERROR(LEFT(Table4[[#This Row],[point_codes]],FIND(";",Table4[[#This Row],[point_codes]])-1),Table4[[#This Row],[point_codes]])</f>
        <v>A-9</v>
      </c>
      <c r="P109" t="s">
        <v>810</v>
      </c>
      <c r="Q109">
        <f>IF(ISBLANK(Table4[[#This Row],[point_codes]]), "", LEN(Table4[[#This Row],[point_codes]])-LEN(SUBSTITUTE(Table4[[#This Row],[point_codes]],";",""))+1)</f>
        <v>1</v>
      </c>
      <c r="R109" t="s">
        <v>242</v>
      </c>
      <c r="S109" t="s">
        <v>243</v>
      </c>
      <c r="T109" t="s">
        <v>735</v>
      </c>
      <c r="U109" s="3">
        <f>Table4[[#This Row],[time_out]]-Table4[[#This Row],[time_in]]</f>
        <v>0</v>
      </c>
    </row>
    <row r="110" spans="1:21" x14ac:dyDescent="0.3">
      <c r="A110" s="5">
        <v>45988</v>
      </c>
      <c r="B110" s="3">
        <v>0.49027777777777776</v>
      </c>
      <c r="C110" s="3">
        <v>0.49027777777777776</v>
      </c>
      <c r="D110" t="s">
        <v>28</v>
      </c>
      <c r="E110" t="s">
        <v>16</v>
      </c>
      <c r="F110" t="str">
        <f>LEFT(Table4[[#This Row],[direction]],1)</f>
        <v>b</v>
      </c>
      <c r="G110" t="s">
        <v>647</v>
      </c>
      <c r="H110" t="s">
        <v>134</v>
      </c>
      <c r="I110" t="s">
        <v>240</v>
      </c>
      <c r="J110" s="14" t="s">
        <v>312</v>
      </c>
      <c r="K110" t="s">
        <v>245</v>
      </c>
      <c r="L110">
        <f>IFERROR(LEFT(Table4[[#This Row],[route_codes]],FIND(";",Table4[[#This Row],[route_codes]])-1),Table4[[#This Row],[route_codes]])</f>
        <v>0</v>
      </c>
      <c r="O110">
        <f>IFERROR(LEFT(Table4[[#This Row],[point_codes]],FIND(";",Table4[[#This Row],[point_codes]])-1),Table4[[#This Row],[point_codes]])</f>
        <v>0</v>
      </c>
      <c r="Q110" t="str">
        <f>IF(ISBLANK(Table4[[#This Row],[point_codes]]), "", LEN(Table4[[#This Row],[point_codes]])-LEN(SUBSTITUTE(Table4[[#This Row],[point_codes]],";",""))+1)</f>
        <v/>
      </c>
      <c r="R110" t="s">
        <v>246</v>
      </c>
      <c r="S110" t="s">
        <v>247</v>
      </c>
      <c r="T110" t="s">
        <v>736</v>
      </c>
      <c r="U110" s="3">
        <f>Table4[[#This Row],[time_out]]-Table4[[#This Row],[time_in]]</f>
        <v>0</v>
      </c>
    </row>
    <row r="111" spans="1:21" x14ac:dyDescent="0.3">
      <c r="A111" s="5">
        <v>45991</v>
      </c>
      <c r="B111" s="3">
        <v>0.55902777777777779</v>
      </c>
      <c r="C111" s="3">
        <v>0.56180555555555556</v>
      </c>
      <c r="D111" t="s">
        <v>147</v>
      </c>
      <c r="E111" t="s">
        <v>16</v>
      </c>
      <c r="F111" t="str">
        <f>LEFT(Table4[[#This Row],[direction]],1)</f>
        <v>b</v>
      </c>
      <c r="G111" t="s">
        <v>646</v>
      </c>
      <c r="H111" t="s">
        <v>134</v>
      </c>
      <c r="I111" t="s">
        <v>248</v>
      </c>
      <c r="J111" s="14" t="s">
        <v>645</v>
      </c>
      <c r="K111" t="s">
        <v>250</v>
      </c>
      <c r="L111" t="str">
        <f>IFERROR(LEFT(Table4[[#This Row],[route_codes]],FIND(";",Table4[[#This Row],[route_codes]])-1),Table4[[#This Row],[route_codes]])</f>
        <v>A-c</v>
      </c>
      <c r="M111" t="s">
        <v>713</v>
      </c>
      <c r="O111" t="str">
        <f>IFERROR(LEFT(Table4[[#This Row],[point_codes]],FIND(";",Table4[[#This Row],[point_codes]])-1),Table4[[#This Row],[point_codes]])</f>
        <v>A-7</v>
      </c>
      <c r="P111" t="s">
        <v>811</v>
      </c>
      <c r="Q111">
        <f>IF(ISBLANK(Table4[[#This Row],[point_codes]]), "", LEN(Table4[[#This Row],[point_codes]])-LEN(SUBSTITUTE(Table4[[#This Row],[point_codes]],";",""))+1)</f>
        <v>2</v>
      </c>
      <c r="R111" t="s">
        <v>251</v>
      </c>
      <c r="S111" t="s">
        <v>252</v>
      </c>
      <c r="T111" t="s">
        <v>734</v>
      </c>
      <c r="U111" s="3">
        <f>Table4[[#This Row],[time_out]]-Table4[[#This Row],[time_in]]</f>
        <v>2.7777777777777679E-3</v>
      </c>
    </row>
    <row r="112" spans="1:21" x14ac:dyDescent="0.3">
      <c r="A112" s="5">
        <v>45991</v>
      </c>
      <c r="B112" s="3">
        <v>0.59583333333333333</v>
      </c>
      <c r="C112" s="3">
        <v>0.59652777777777777</v>
      </c>
      <c r="D112" t="s">
        <v>147</v>
      </c>
      <c r="E112" t="s">
        <v>16</v>
      </c>
      <c r="F112" t="str">
        <f>LEFT(Table4[[#This Row],[direction]],1)</f>
        <v>b</v>
      </c>
      <c r="G112" t="s">
        <v>646</v>
      </c>
      <c r="H112" t="s">
        <v>134</v>
      </c>
      <c r="I112" t="s">
        <v>253</v>
      </c>
      <c r="J112" s="14" t="s">
        <v>645</v>
      </c>
      <c r="K112" t="s">
        <v>254</v>
      </c>
      <c r="L112" t="str">
        <f>IFERROR(LEFT(Table4[[#This Row],[route_codes]],FIND(";",Table4[[#This Row],[route_codes]])-1),Table4[[#This Row],[route_codes]])</f>
        <v>A-c</v>
      </c>
      <c r="M112" t="s">
        <v>713</v>
      </c>
      <c r="O112" t="str">
        <f>IFERROR(LEFT(Table4[[#This Row],[point_codes]],FIND(";",Table4[[#This Row],[point_codes]])-1),Table4[[#This Row],[point_codes]])</f>
        <v>A-7</v>
      </c>
      <c r="P112" t="s">
        <v>812</v>
      </c>
      <c r="Q112">
        <f>IF(ISBLANK(Table4[[#This Row],[point_codes]]), "", LEN(Table4[[#This Row],[point_codes]])-LEN(SUBSTITUTE(Table4[[#This Row],[point_codes]],";",""))+1)</f>
        <v>5</v>
      </c>
      <c r="R112" t="s">
        <v>255</v>
      </c>
      <c r="T112" t="s">
        <v>735</v>
      </c>
      <c r="U112" s="3">
        <f>Table4[[#This Row],[time_out]]-Table4[[#This Row],[time_in]]</f>
        <v>6.9444444444444198E-4</v>
      </c>
    </row>
    <row r="113" spans="1:21" x14ac:dyDescent="0.3">
      <c r="A113" s="5">
        <v>45991</v>
      </c>
      <c r="B113" s="3">
        <v>0.56944444444444442</v>
      </c>
      <c r="C113" s="3">
        <v>0.57152777777777775</v>
      </c>
      <c r="D113" t="s">
        <v>147</v>
      </c>
      <c r="E113" t="s">
        <v>16</v>
      </c>
      <c r="F113" t="str">
        <f>LEFT(Table4[[#This Row],[direction]],1)</f>
        <v>a</v>
      </c>
      <c r="G113" t="s">
        <v>642</v>
      </c>
      <c r="H113" t="s">
        <v>134</v>
      </c>
      <c r="I113" t="s">
        <v>256</v>
      </c>
      <c r="J113" s="14" t="s">
        <v>644</v>
      </c>
      <c r="K113" t="s">
        <v>258</v>
      </c>
      <c r="L113" t="str">
        <f>IFERROR(LEFT(Table4[[#This Row],[route_codes]],FIND(";",Table4[[#This Row],[route_codes]])-1),Table4[[#This Row],[route_codes]])</f>
        <v>A-a</v>
      </c>
      <c r="M113" t="s">
        <v>703</v>
      </c>
      <c r="O113" t="str">
        <f>IFERROR(LEFT(Table4[[#This Row],[point_codes]],FIND(";",Table4[[#This Row],[point_codes]])-1),Table4[[#This Row],[point_codes]])</f>
        <v>A-1</v>
      </c>
      <c r="P113" t="s">
        <v>813</v>
      </c>
      <c r="Q113">
        <f>IF(ISBLANK(Table4[[#This Row],[point_codes]]), "", LEN(Table4[[#This Row],[point_codes]])-LEN(SUBSTITUTE(Table4[[#This Row],[point_codes]],";",""))+1)</f>
        <v>6</v>
      </c>
      <c r="R113" t="s">
        <v>259</v>
      </c>
      <c r="S113" t="s">
        <v>260</v>
      </c>
      <c r="T113" t="s">
        <v>734</v>
      </c>
      <c r="U113" s="3">
        <f>Table4[[#This Row],[time_out]]-Table4[[#This Row],[time_in]]</f>
        <v>2.0833333333333259E-3</v>
      </c>
    </row>
    <row r="114" spans="1:21" x14ac:dyDescent="0.3">
      <c r="A114" s="5">
        <v>45991</v>
      </c>
      <c r="B114" s="3">
        <v>0.57152777777777775</v>
      </c>
      <c r="C114" s="3">
        <v>0.57291666666666663</v>
      </c>
      <c r="D114" t="s">
        <v>147</v>
      </c>
      <c r="E114" t="s">
        <v>16</v>
      </c>
      <c r="F114" t="str">
        <f>LEFT(Table4[[#This Row],[direction]],1)</f>
        <v>a</v>
      </c>
      <c r="G114" t="s">
        <v>642</v>
      </c>
      <c r="H114" t="s">
        <v>643</v>
      </c>
      <c r="J114" s="14" t="s">
        <v>645</v>
      </c>
      <c r="K114" t="s">
        <v>261</v>
      </c>
      <c r="L114" t="str">
        <f>IFERROR(LEFT(Table4[[#This Row],[route_codes]],FIND(";",Table4[[#This Row],[route_codes]])-1),Table4[[#This Row],[route_codes]])</f>
        <v>A-a</v>
      </c>
      <c r="M114" t="s">
        <v>703</v>
      </c>
      <c r="O114" t="str">
        <f>IFERROR(LEFT(Table4[[#This Row],[point_codes]],FIND(";",Table4[[#This Row],[point_codes]])-1),Table4[[#This Row],[point_codes]])</f>
        <v>A-3</v>
      </c>
      <c r="P114" t="s">
        <v>814</v>
      </c>
      <c r="Q114">
        <f>IF(ISBLANK(Table4[[#This Row],[point_codes]]), "", LEN(Table4[[#This Row],[point_codes]])-LEN(SUBSTITUTE(Table4[[#This Row],[point_codes]],";",""))+1)</f>
        <v>4</v>
      </c>
      <c r="R114" t="s">
        <v>262</v>
      </c>
      <c r="T114" t="s">
        <v>734</v>
      </c>
      <c r="U114" s="3">
        <f>Table4[[#This Row],[time_out]]-Table4[[#This Row],[time_in]]</f>
        <v>1.388888888888884E-3</v>
      </c>
    </row>
    <row r="115" spans="1:21" x14ac:dyDescent="0.3">
      <c r="A115" s="5">
        <v>45991</v>
      </c>
      <c r="B115" s="3">
        <v>0.57361111111111107</v>
      </c>
      <c r="C115" s="3">
        <v>0.57499999999999996</v>
      </c>
      <c r="D115" t="s">
        <v>147</v>
      </c>
      <c r="E115" t="s">
        <v>16</v>
      </c>
      <c r="F115" t="str">
        <f>LEFT(Table4[[#This Row],[direction]],1)</f>
        <v>b</v>
      </c>
      <c r="G115" t="s">
        <v>646</v>
      </c>
      <c r="H115" t="s">
        <v>490</v>
      </c>
      <c r="I115" t="s">
        <v>264</v>
      </c>
      <c r="J115" s="14" t="s">
        <v>645</v>
      </c>
      <c r="K115" t="s">
        <v>265</v>
      </c>
      <c r="L115" t="str">
        <f>IFERROR(LEFT(Table4[[#This Row],[route_codes]],FIND(";",Table4[[#This Row],[route_codes]])-1),Table4[[#This Row],[route_codes]])</f>
        <v>A-c</v>
      </c>
      <c r="M115" t="s">
        <v>713</v>
      </c>
      <c r="O115" t="str">
        <f>IFERROR(LEFT(Table4[[#This Row],[point_codes]],FIND(";",Table4[[#This Row],[point_codes]])-1),Table4[[#This Row],[point_codes]])</f>
        <v>A-7</v>
      </c>
      <c r="P115" t="s">
        <v>746</v>
      </c>
      <c r="Q115">
        <f>IF(ISBLANK(Table4[[#This Row],[point_codes]]), "", LEN(Table4[[#This Row],[point_codes]])-LEN(SUBSTITUTE(Table4[[#This Row],[point_codes]],";",""))+1)</f>
        <v>3</v>
      </c>
      <c r="R115" t="s">
        <v>266</v>
      </c>
      <c r="T115" t="s">
        <v>734</v>
      </c>
      <c r="U115" s="3">
        <f>Table4[[#This Row],[time_out]]-Table4[[#This Row],[time_in]]</f>
        <v>1.388888888888884E-3</v>
      </c>
    </row>
    <row r="116" spans="1:21" x14ac:dyDescent="0.3">
      <c r="A116" s="5"/>
      <c r="B116" s="3">
        <v>0.49027777777777776</v>
      </c>
      <c r="C116" s="3">
        <v>0.4909722222222222</v>
      </c>
      <c r="E116" t="s">
        <v>16</v>
      </c>
      <c r="F116" t="str">
        <f>LEFT(Table4[[#This Row],[direction]],1)</f>
        <v>b</v>
      </c>
      <c r="G116" t="s">
        <v>646</v>
      </c>
      <c r="H116" t="s">
        <v>643</v>
      </c>
      <c r="I116" t="s">
        <v>267</v>
      </c>
      <c r="J116" s="14" t="b">
        <v>0</v>
      </c>
      <c r="K116" t="s">
        <v>268</v>
      </c>
      <c r="L116" t="str">
        <f>IFERROR(LEFT(Table4[[#This Row],[route_codes]],FIND(";",Table4[[#This Row],[route_codes]])-1),Table4[[#This Row],[route_codes]])</f>
        <v>A-c</v>
      </c>
      <c r="M116" t="s">
        <v>713</v>
      </c>
      <c r="O116" t="str">
        <f>IFERROR(LEFT(Table4[[#This Row],[point_codes]],FIND(";",Table4[[#This Row],[point_codes]])-1),Table4[[#This Row],[point_codes]])</f>
        <v>A-5</v>
      </c>
      <c r="P116" t="s">
        <v>815</v>
      </c>
      <c r="Q116">
        <f>IF(ISBLANK(Table4[[#This Row],[point_codes]]), "", LEN(Table4[[#This Row],[point_codes]])-LEN(SUBSTITUTE(Table4[[#This Row],[point_codes]],";",""))+1)</f>
        <v>2</v>
      </c>
      <c r="R116" t="s">
        <v>269</v>
      </c>
      <c r="S116" t="s">
        <v>270</v>
      </c>
      <c r="T116" t="s">
        <v>734</v>
      </c>
      <c r="U116" s="3">
        <f>Table4[[#This Row],[time_out]]-Table4[[#This Row],[time_in]]</f>
        <v>6.9444444444444198E-4</v>
      </c>
    </row>
    <row r="117" spans="1:21" x14ac:dyDescent="0.3">
      <c r="A117" s="5">
        <v>45993</v>
      </c>
      <c r="B117" s="3">
        <v>0.48541666666666666</v>
      </c>
      <c r="C117" s="3">
        <v>0.48680555555555555</v>
      </c>
      <c r="E117" t="s">
        <v>16</v>
      </c>
      <c r="F117" t="str">
        <f>LEFT(Table4[[#This Row],[direction]],1)</f>
        <v>u</v>
      </c>
      <c r="G117" t="s">
        <v>312</v>
      </c>
      <c r="H117" t="s">
        <v>134</v>
      </c>
      <c r="I117" t="s">
        <v>272</v>
      </c>
      <c r="J117" s="14" t="b">
        <v>0</v>
      </c>
      <c r="K117" t="s">
        <v>273</v>
      </c>
      <c r="L117" t="str">
        <f>IFERROR(LEFT(Table4[[#This Row],[route_codes]],FIND(";",Table4[[#This Row],[route_codes]])-1),Table4[[#This Row],[route_codes]])</f>
        <v>A-b</v>
      </c>
      <c r="M117" t="s">
        <v>816</v>
      </c>
      <c r="O117" t="str">
        <f>IFERROR(LEFT(Table4[[#This Row],[point_codes]],FIND(";",Table4[[#This Row],[point_codes]])-1),Table4[[#This Row],[point_codes]])</f>
        <v>A-8</v>
      </c>
      <c r="P117" t="s">
        <v>817</v>
      </c>
      <c r="Q117">
        <f>IF(ISBLANK(Table4[[#This Row],[point_codes]]), "", LEN(Table4[[#This Row],[point_codes]])-LEN(SUBSTITUTE(Table4[[#This Row],[point_codes]],";",""))+1)</f>
        <v>5</v>
      </c>
      <c r="R117" t="s">
        <v>274</v>
      </c>
      <c r="T117" t="s">
        <v>734</v>
      </c>
      <c r="U117" s="3">
        <f>Table4[[#This Row],[time_out]]-Table4[[#This Row],[time_in]]</f>
        <v>1.388888888888884E-3</v>
      </c>
    </row>
    <row r="118" spans="1:21" x14ac:dyDescent="0.3">
      <c r="A118" s="5"/>
      <c r="B118" s="3">
        <v>0.48125000000000001</v>
      </c>
      <c r="C118" s="3">
        <v>0.48402777777777778</v>
      </c>
      <c r="E118" t="s">
        <v>16</v>
      </c>
      <c r="F118" t="str">
        <f>LEFT(Table4[[#This Row],[direction]],1)</f>
        <v>u</v>
      </c>
      <c r="G118" t="s">
        <v>312</v>
      </c>
      <c r="H118" t="s">
        <v>490</v>
      </c>
      <c r="I118" t="s">
        <v>276</v>
      </c>
      <c r="J118" s="14" t="b">
        <v>0</v>
      </c>
      <c r="K118" t="s">
        <v>277</v>
      </c>
      <c r="L118" t="str">
        <f>IFERROR(LEFT(Table4[[#This Row],[route_codes]],FIND(";",Table4[[#This Row],[route_codes]])-1),Table4[[#This Row],[route_codes]])</f>
        <v>A-c</v>
      </c>
      <c r="M118" t="s">
        <v>706</v>
      </c>
      <c r="O118" t="str">
        <f>IFERROR(LEFT(Table4[[#This Row],[point_codes]],FIND(";",Table4[[#This Row],[point_codes]])-1),Table4[[#This Row],[point_codes]])</f>
        <v>A-10</v>
      </c>
      <c r="P118" t="s">
        <v>775</v>
      </c>
      <c r="Q118">
        <f>IF(ISBLANK(Table4[[#This Row],[point_codes]]), "", LEN(Table4[[#This Row],[point_codes]])-LEN(SUBSTITUTE(Table4[[#This Row],[point_codes]],";",""))+1)</f>
        <v>1</v>
      </c>
      <c r="R118" t="s">
        <v>278</v>
      </c>
      <c r="T118" t="s">
        <v>734</v>
      </c>
      <c r="U118" s="3">
        <f>Table4[[#This Row],[time_out]]-Table4[[#This Row],[time_in]]</f>
        <v>2.7777777777777679E-3</v>
      </c>
    </row>
    <row r="119" spans="1:21" x14ac:dyDescent="0.3">
      <c r="A119" s="5"/>
      <c r="B119" s="3">
        <v>0.48055555555555557</v>
      </c>
      <c r="C119" s="3">
        <v>0.48125000000000001</v>
      </c>
      <c r="E119" t="s">
        <v>16</v>
      </c>
      <c r="F119" t="str">
        <f>LEFT(Table4[[#This Row],[direction]],1)</f>
        <v>b</v>
      </c>
      <c r="G119" t="s">
        <v>647</v>
      </c>
      <c r="H119" t="s">
        <v>643</v>
      </c>
      <c r="I119" t="s">
        <v>280</v>
      </c>
      <c r="J119" s="14" t="b">
        <v>0</v>
      </c>
      <c r="K119" t="s">
        <v>281</v>
      </c>
      <c r="L119" t="str">
        <f>IFERROR(LEFT(Table4[[#This Row],[route_codes]],FIND(";",Table4[[#This Row],[route_codes]])-1),Table4[[#This Row],[route_codes]])</f>
        <v>A-c</v>
      </c>
      <c r="M119" t="s">
        <v>706</v>
      </c>
      <c r="O119" t="str">
        <f>IFERROR(LEFT(Table4[[#This Row],[point_codes]],FIND(";",Table4[[#This Row],[point_codes]])-1),Table4[[#This Row],[point_codes]])</f>
        <v>A-6</v>
      </c>
      <c r="P119" t="s">
        <v>818</v>
      </c>
      <c r="Q119">
        <f>IF(ISBLANK(Table4[[#This Row],[point_codes]]), "", LEN(Table4[[#This Row],[point_codes]])-LEN(SUBSTITUTE(Table4[[#This Row],[point_codes]],";",""))+1)</f>
        <v>5</v>
      </c>
      <c r="R119" t="s">
        <v>282</v>
      </c>
      <c r="T119" t="s">
        <v>734</v>
      </c>
      <c r="U119" s="3">
        <f>Table4[[#This Row],[time_out]]-Table4[[#This Row],[time_in]]</f>
        <v>6.9444444444444198E-4</v>
      </c>
    </row>
    <row r="120" spans="1:21" x14ac:dyDescent="0.3">
      <c r="A120" s="5"/>
      <c r="B120" s="3">
        <v>0.47361111111111109</v>
      </c>
      <c r="C120" s="3">
        <v>0.47430555555555554</v>
      </c>
      <c r="E120" t="s">
        <v>16</v>
      </c>
      <c r="F120" t="str">
        <f>LEFT(Table4[[#This Row],[direction]],1)</f>
        <v>u</v>
      </c>
      <c r="G120" t="s">
        <v>312</v>
      </c>
      <c r="H120" t="s">
        <v>490</v>
      </c>
      <c r="I120" t="s">
        <v>283</v>
      </c>
      <c r="J120" s="14" t="b">
        <v>0</v>
      </c>
      <c r="K120" t="s">
        <v>284</v>
      </c>
      <c r="L120">
        <f>IFERROR(LEFT(Table4[[#This Row],[route_codes]],FIND(";",Table4[[#This Row],[route_codes]])-1),Table4[[#This Row],[route_codes]])</f>
        <v>0</v>
      </c>
      <c r="O120" t="str">
        <f>IFERROR(LEFT(Table4[[#This Row],[point_codes]],FIND(";",Table4[[#This Row],[point_codes]])-1),Table4[[#This Row],[point_codes]])</f>
        <v>A-6</v>
      </c>
      <c r="P120" t="s">
        <v>819</v>
      </c>
      <c r="Q120">
        <f>IF(ISBLANK(Table4[[#This Row],[point_codes]]), "", LEN(Table4[[#This Row],[point_codes]])-LEN(SUBSTITUTE(Table4[[#This Row],[point_codes]],";",""))+1)</f>
        <v>2</v>
      </c>
      <c r="R120" t="s">
        <v>285</v>
      </c>
      <c r="T120" t="s">
        <v>734</v>
      </c>
      <c r="U120" s="3">
        <f>Table4[[#This Row],[time_out]]-Table4[[#This Row],[time_in]]</f>
        <v>6.9444444444444198E-4</v>
      </c>
    </row>
    <row r="121" spans="1:21" x14ac:dyDescent="0.3">
      <c r="A121" s="5"/>
      <c r="B121" s="3">
        <v>0.47847222222222224</v>
      </c>
      <c r="C121" s="3">
        <v>0.47916666666666669</v>
      </c>
      <c r="E121" t="s">
        <v>16</v>
      </c>
      <c r="F121" t="str">
        <f>LEFT(Table4[[#This Row],[direction]],1)</f>
        <v>b</v>
      </c>
      <c r="G121" t="s">
        <v>646</v>
      </c>
      <c r="H121" t="s">
        <v>490</v>
      </c>
      <c r="I121" t="s">
        <v>286</v>
      </c>
      <c r="J121" s="14" t="b">
        <v>0</v>
      </c>
      <c r="K121" t="s">
        <v>287</v>
      </c>
      <c r="L121" t="str">
        <f>IFERROR(LEFT(Table4[[#This Row],[route_codes]],FIND(";",Table4[[#This Row],[route_codes]])-1),Table4[[#This Row],[route_codes]])</f>
        <v>A-c</v>
      </c>
      <c r="M121" t="s">
        <v>711</v>
      </c>
      <c r="O121" t="str">
        <f>IFERROR(LEFT(Table4[[#This Row],[point_codes]],FIND(";",Table4[[#This Row],[point_codes]])-1),Table4[[#This Row],[point_codes]])</f>
        <v>B-7</v>
      </c>
      <c r="P121" t="s">
        <v>820</v>
      </c>
      <c r="Q121">
        <f>IF(ISBLANK(Table4[[#This Row],[point_codes]]), "", LEN(Table4[[#This Row],[point_codes]])-LEN(SUBSTITUTE(Table4[[#This Row],[point_codes]],";",""))+1)</f>
        <v>4</v>
      </c>
      <c r="R121" t="s">
        <v>288</v>
      </c>
      <c r="T121" t="s">
        <v>734</v>
      </c>
      <c r="U121" s="3">
        <f>Table4[[#This Row],[time_out]]-Table4[[#This Row],[time_in]]</f>
        <v>6.9444444444444198E-4</v>
      </c>
    </row>
    <row r="122" spans="1:21" x14ac:dyDescent="0.3">
      <c r="A122" s="5"/>
      <c r="B122" s="3">
        <v>0.49652777777777779</v>
      </c>
      <c r="C122" s="3">
        <v>0.49722222222222223</v>
      </c>
      <c r="E122" t="s">
        <v>16</v>
      </c>
      <c r="F122" t="str">
        <f>LEFT(Table4[[#This Row],[direction]],1)</f>
        <v>b</v>
      </c>
      <c r="G122" t="s">
        <v>646</v>
      </c>
      <c r="H122" t="s">
        <v>643</v>
      </c>
      <c r="I122" t="s">
        <v>289</v>
      </c>
      <c r="J122" s="14" t="b">
        <v>0</v>
      </c>
      <c r="K122" t="s">
        <v>290</v>
      </c>
      <c r="L122" t="str">
        <f>IFERROR(LEFT(Table4[[#This Row],[route_codes]],FIND(";",Table4[[#This Row],[route_codes]])-1),Table4[[#This Row],[route_codes]])</f>
        <v>A-c</v>
      </c>
      <c r="M122" t="s">
        <v>713</v>
      </c>
      <c r="O122" t="str">
        <f>IFERROR(LEFT(Table4[[#This Row],[point_codes]],FIND(";",Table4[[#This Row],[point_codes]])-1),Table4[[#This Row],[point_codes]])</f>
        <v>A-7</v>
      </c>
      <c r="P122" t="s">
        <v>794</v>
      </c>
      <c r="Q122">
        <f>IF(ISBLANK(Table4[[#This Row],[point_codes]]), "", LEN(Table4[[#This Row],[point_codes]])-LEN(SUBSTITUTE(Table4[[#This Row],[point_codes]],";",""))+1)</f>
        <v>4</v>
      </c>
      <c r="R122" t="s">
        <v>291</v>
      </c>
      <c r="T122" t="s">
        <v>734</v>
      </c>
      <c r="U122" s="3">
        <f>Table4[[#This Row],[time_out]]-Table4[[#This Row],[time_in]]</f>
        <v>6.9444444444444198E-4</v>
      </c>
    </row>
    <row r="123" spans="1:21" x14ac:dyDescent="0.3">
      <c r="A123" s="5">
        <v>45994</v>
      </c>
      <c r="B123" s="3">
        <v>0.4826388888888889</v>
      </c>
      <c r="C123" s="3">
        <v>0.48333333333333334</v>
      </c>
      <c r="D123" t="s">
        <v>15</v>
      </c>
      <c r="E123" t="s">
        <v>16</v>
      </c>
      <c r="F123" t="str">
        <f>LEFT(Table4[[#This Row],[direction]],1)</f>
        <v>b</v>
      </c>
      <c r="G123" t="s">
        <v>646</v>
      </c>
      <c r="H123" t="s">
        <v>643</v>
      </c>
      <c r="I123" t="s">
        <v>294</v>
      </c>
      <c r="J123" s="14" t="s">
        <v>645</v>
      </c>
      <c r="K123" t="s">
        <v>295</v>
      </c>
      <c r="L123" t="str">
        <f>IFERROR(LEFT(Table4[[#This Row],[route_codes]],FIND(";",Table4[[#This Row],[route_codes]])-1),Table4[[#This Row],[route_codes]])</f>
        <v>A-d</v>
      </c>
      <c r="M123" t="s">
        <v>739</v>
      </c>
      <c r="O123" t="str">
        <f>IFERROR(LEFT(Table4[[#This Row],[point_codes]],FIND(";",Table4[[#This Row],[point_codes]])-1),Table4[[#This Row],[point_codes]])</f>
        <v>A-10</v>
      </c>
      <c r="P123" t="s">
        <v>821</v>
      </c>
      <c r="Q123">
        <f>IF(ISBLANK(Table4[[#This Row],[point_codes]]), "", LEN(Table4[[#This Row],[point_codes]])-LEN(SUBSTITUTE(Table4[[#This Row],[point_codes]],";",""))+1)</f>
        <v>3</v>
      </c>
      <c r="R123" t="s">
        <v>296</v>
      </c>
      <c r="T123" t="s">
        <v>734</v>
      </c>
      <c r="U123" s="3">
        <f>Table4[[#This Row],[time_out]]-Table4[[#This Row],[time_in]]</f>
        <v>6.9444444444444198E-4</v>
      </c>
    </row>
    <row r="124" spans="1:21" x14ac:dyDescent="0.3">
      <c r="A124" s="5">
        <v>45994</v>
      </c>
      <c r="B124" s="3">
        <v>0.48333333333333334</v>
      </c>
      <c r="C124" s="3">
        <v>0.48472222222222222</v>
      </c>
      <c r="D124" t="s">
        <v>15</v>
      </c>
      <c r="E124" t="s">
        <v>16</v>
      </c>
      <c r="F124" t="str">
        <f>LEFT(Table4[[#This Row],[direction]],1)</f>
        <v>b</v>
      </c>
      <c r="G124" t="s">
        <v>646</v>
      </c>
      <c r="H124" t="s">
        <v>134</v>
      </c>
      <c r="I124" t="s">
        <v>297</v>
      </c>
      <c r="J124" s="14" t="b">
        <v>0</v>
      </c>
      <c r="K124" t="s">
        <v>298</v>
      </c>
      <c r="L124" t="str">
        <f>IFERROR(LEFT(Table4[[#This Row],[route_codes]],FIND(";",Table4[[#This Row],[route_codes]])-1),Table4[[#This Row],[route_codes]])</f>
        <v>A-c</v>
      </c>
      <c r="M124" t="s">
        <v>713</v>
      </c>
      <c r="O124" t="str">
        <f>IFERROR(LEFT(Table4[[#This Row],[point_codes]],FIND(";",Table4[[#This Row],[point_codes]])-1),Table4[[#This Row],[point_codes]])</f>
        <v>B-7</v>
      </c>
      <c r="P124" t="s">
        <v>822</v>
      </c>
      <c r="Q124">
        <f>IF(ISBLANK(Table4[[#This Row],[point_codes]]), "", LEN(Table4[[#This Row],[point_codes]])-LEN(SUBSTITUTE(Table4[[#This Row],[point_codes]],";",""))+1)</f>
        <v>4</v>
      </c>
      <c r="R124" t="s">
        <v>299</v>
      </c>
      <c r="T124" t="s">
        <v>734</v>
      </c>
      <c r="U124" s="3">
        <f>Table4[[#This Row],[time_out]]-Table4[[#This Row],[time_in]]</f>
        <v>1.388888888888884E-3</v>
      </c>
    </row>
    <row r="125" spans="1:21" x14ac:dyDescent="0.3">
      <c r="A125" s="5">
        <v>45994</v>
      </c>
      <c r="B125" s="3">
        <v>0.47986111111111113</v>
      </c>
      <c r="C125" s="3">
        <v>0.4826388888888889</v>
      </c>
      <c r="D125" t="s">
        <v>15</v>
      </c>
      <c r="E125" t="s">
        <v>16</v>
      </c>
      <c r="F125" t="str">
        <f>LEFT(Table4[[#This Row],[direction]],1)</f>
        <v>b</v>
      </c>
      <c r="G125" t="s">
        <v>646</v>
      </c>
      <c r="H125" t="s">
        <v>643</v>
      </c>
      <c r="I125" t="s">
        <v>300</v>
      </c>
      <c r="J125" s="14" t="b">
        <v>0</v>
      </c>
      <c r="K125" t="s">
        <v>301</v>
      </c>
      <c r="L125" t="str">
        <f>IFERROR(LEFT(Table4[[#This Row],[route_codes]],FIND(";",Table4[[#This Row],[route_codes]])-1),Table4[[#This Row],[route_codes]])</f>
        <v>A-d</v>
      </c>
      <c r="M125" t="s">
        <v>739</v>
      </c>
      <c r="O125" t="str">
        <f>IFERROR(LEFT(Table4[[#This Row],[point_codes]],FIND(";",Table4[[#This Row],[point_codes]])-1),Table4[[#This Row],[point_codes]])</f>
        <v>B-7</v>
      </c>
      <c r="P125" t="s">
        <v>823</v>
      </c>
      <c r="Q125">
        <f>IF(ISBLANK(Table4[[#This Row],[point_codes]]), "", LEN(Table4[[#This Row],[point_codes]])-LEN(SUBSTITUTE(Table4[[#This Row],[point_codes]],";",""))+1)</f>
        <v>5</v>
      </c>
      <c r="R125" t="s">
        <v>302</v>
      </c>
      <c r="T125" t="s">
        <v>734</v>
      </c>
      <c r="U125" s="3">
        <f>Table4[[#This Row],[time_out]]-Table4[[#This Row],[time_in]]</f>
        <v>2.7777777777777679E-3</v>
      </c>
    </row>
    <row r="126" spans="1:21" x14ac:dyDescent="0.3">
      <c r="A126" s="5">
        <v>45994</v>
      </c>
      <c r="B126" s="3">
        <v>0.43819444444444444</v>
      </c>
      <c r="C126" s="3">
        <v>0.44166666666666665</v>
      </c>
      <c r="D126" t="s">
        <v>15</v>
      </c>
      <c r="E126" t="s">
        <v>16</v>
      </c>
      <c r="F126" t="str">
        <f>LEFT(Table4[[#This Row],[direction]],1)</f>
        <v>a</v>
      </c>
      <c r="G126" t="s">
        <v>642</v>
      </c>
      <c r="H126" t="s">
        <v>643</v>
      </c>
      <c r="I126" t="s">
        <v>303</v>
      </c>
      <c r="J126" s="14" t="s">
        <v>645</v>
      </c>
      <c r="K126" t="s">
        <v>304</v>
      </c>
      <c r="L126" t="str">
        <f>IFERROR(LEFT(Table4[[#This Row],[route_codes]],FIND(";",Table4[[#This Row],[route_codes]])-1),Table4[[#This Row],[route_codes]])</f>
        <v>A-a</v>
      </c>
      <c r="M126" t="s">
        <v>703</v>
      </c>
      <c r="O126" t="str">
        <f>IFERROR(LEFT(Table4[[#This Row],[point_codes]],FIND(";",Table4[[#This Row],[point_codes]])-1),Table4[[#This Row],[point_codes]])</f>
        <v>A-3</v>
      </c>
      <c r="P126" t="s">
        <v>824</v>
      </c>
      <c r="Q126">
        <f>IF(ISBLANK(Table4[[#This Row],[point_codes]]), "", LEN(Table4[[#This Row],[point_codes]])-LEN(SUBSTITUTE(Table4[[#This Row],[point_codes]],";",""))+1)</f>
        <v>4</v>
      </c>
      <c r="R126" t="s">
        <v>305</v>
      </c>
      <c r="T126" t="s">
        <v>734</v>
      </c>
      <c r="U126" s="3">
        <f>Table4[[#This Row],[time_out]]-Table4[[#This Row],[time_in]]</f>
        <v>3.4722222222222099E-3</v>
      </c>
    </row>
    <row r="127" spans="1:21" x14ac:dyDescent="0.3">
      <c r="A127" s="5">
        <v>45994</v>
      </c>
      <c r="B127" s="3">
        <v>0.4375</v>
      </c>
      <c r="C127" s="3">
        <v>0.43819444444444444</v>
      </c>
      <c r="D127" t="s">
        <v>15</v>
      </c>
      <c r="E127" t="s">
        <v>16</v>
      </c>
      <c r="F127" t="str">
        <f>LEFT(Table4[[#This Row],[direction]],1)</f>
        <v>a</v>
      </c>
      <c r="G127" t="s">
        <v>642</v>
      </c>
      <c r="H127" t="s">
        <v>643</v>
      </c>
      <c r="I127" t="s">
        <v>306</v>
      </c>
      <c r="J127" s="14" t="s">
        <v>645</v>
      </c>
      <c r="K127" t="s">
        <v>307</v>
      </c>
      <c r="L127" t="str">
        <f>IFERROR(LEFT(Table4[[#This Row],[route_codes]],FIND(";",Table4[[#This Row],[route_codes]])-1),Table4[[#This Row],[route_codes]])</f>
        <v>A-a</v>
      </c>
      <c r="M127" t="s">
        <v>703</v>
      </c>
      <c r="O127" t="str">
        <f>IFERROR(LEFT(Table4[[#This Row],[point_codes]],FIND(";",Table4[[#This Row],[point_codes]])-1),Table4[[#This Row],[point_codes]])</f>
        <v>A-3</v>
      </c>
      <c r="P127" t="s">
        <v>785</v>
      </c>
      <c r="Q127">
        <f>IF(ISBLANK(Table4[[#This Row],[point_codes]]), "", LEN(Table4[[#This Row],[point_codes]])-LEN(SUBSTITUTE(Table4[[#This Row],[point_codes]],";",""))+1)</f>
        <v>2</v>
      </c>
      <c r="R127" t="s">
        <v>308</v>
      </c>
      <c r="T127" t="s">
        <v>734</v>
      </c>
      <c r="U127" s="3">
        <f>Table4[[#This Row],[time_out]]-Table4[[#This Row],[time_in]]</f>
        <v>6.9444444444444198E-4</v>
      </c>
    </row>
    <row r="128" spans="1:21" x14ac:dyDescent="0.3">
      <c r="A128" s="5">
        <v>45996</v>
      </c>
      <c r="B128" s="3">
        <v>0.5</v>
      </c>
      <c r="C128" s="3">
        <v>0.58333333333333337</v>
      </c>
      <c r="D128" t="s">
        <v>309</v>
      </c>
      <c r="E128" t="s">
        <v>16</v>
      </c>
      <c r="F128" t="str">
        <f>LEFT(Table4[[#This Row],[direction]],1)</f>
        <v>u</v>
      </c>
      <c r="G128" t="s">
        <v>312</v>
      </c>
      <c r="H128" t="s">
        <v>724</v>
      </c>
      <c r="I128" t="s">
        <v>271</v>
      </c>
      <c r="J128" s="14" t="s">
        <v>312</v>
      </c>
      <c r="K128" t="s">
        <v>310</v>
      </c>
      <c r="L128">
        <f>IFERROR(LEFT(Table4[[#This Row],[route_codes]],FIND(";",Table4[[#This Row],[route_codes]])-1),Table4[[#This Row],[route_codes]])</f>
        <v>0</v>
      </c>
      <c r="O128" t="str">
        <f>IFERROR(LEFT(Table4[[#This Row],[point_codes]],FIND(";",Table4[[#This Row],[point_codes]])-1),Table4[[#This Row],[point_codes]])</f>
        <v>A-9</v>
      </c>
      <c r="P128" t="s">
        <v>810</v>
      </c>
      <c r="Q128">
        <f>IF(ISBLANK(Table4[[#This Row],[point_codes]]), "", LEN(Table4[[#This Row],[point_codes]])-LEN(SUBSTITUTE(Table4[[#This Row],[point_codes]],";",""))+1)</f>
        <v>1</v>
      </c>
      <c r="R128" t="s">
        <v>311</v>
      </c>
      <c r="T128" t="s">
        <v>734</v>
      </c>
      <c r="U128" s="3">
        <f>Table4[[#This Row],[time_out]]-Table4[[#This Row],[time_in]]</f>
        <v>8.333333333333337E-2</v>
      </c>
    </row>
    <row r="129" spans="1:21" x14ac:dyDescent="0.3">
      <c r="A129" s="5">
        <v>45996</v>
      </c>
      <c r="B129" s="3">
        <v>0.5</v>
      </c>
      <c r="C129" s="3">
        <v>0.58333333333333337</v>
      </c>
      <c r="D129" t="s">
        <v>309</v>
      </c>
      <c r="E129" t="s">
        <v>16</v>
      </c>
      <c r="F129" t="str">
        <f>LEFT(Table4[[#This Row],[direction]],1)</f>
        <v>u</v>
      </c>
      <c r="G129" t="s">
        <v>312</v>
      </c>
      <c r="H129" t="s">
        <v>724</v>
      </c>
      <c r="I129" t="s">
        <v>312</v>
      </c>
      <c r="J129" s="14" t="s">
        <v>312</v>
      </c>
      <c r="K129" t="s">
        <v>310</v>
      </c>
      <c r="L129">
        <f>IFERROR(LEFT(Table4[[#This Row],[route_codes]],FIND(";",Table4[[#This Row],[route_codes]])-1),Table4[[#This Row],[route_codes]])</f>
        <v>0</v>
      </c>
      <c r="O129" t="str">
        <f>IFERROR(LEFT(Table4[[#This Row],[point_codes]],FIND(";",Table4[[#This Row],[point_codes]])-1),Table4[[#This Row],[point_codes]])</f>
        <v>A-3</v>
      </c>
      <c r="P129" t="s">
        <v>795</v>
      </c>
      <c r="Q129">
        <f>IF(ISBLANK(Table4[[#This Row],[point_codes]]), "", LEN(Table4[[#This Row],[point_codes]])-LEN(SUBSTITUTE(Table4[[#This Row],[point_codes]],";",""))+1)</f>
        <v>1</v>
      </c>
      <c r="R129" t="s">
        <v>313</v>
      </c>
      <c r="T129" t="s">
        <v>734</v>
      </c>
      <c r="U129" s="3">
        <f>Table4[[#This Row],[time_out]]-Table4[[#This Row],[time_in]]</f>
        <v>8.333333333333337E-2</v>
      </c>
    </row>
    <row r="130" spans="1:21" x14ac:dyDescent="0.3">
      <c r="A130" s="5">
        <v>45973</v>
      </c>
      <c r="B130" s="3">
        <v>0.4777777777777778</v>
      </c>
      <c r="C130" s="3">
        <v>0.47916666666666669</v>
      </c>
      <c r="D130" t="s">
        <v>15</v>
      </c>
      <c r="E130" t="s">
        <v>16</v>
      </c>
      <c r="F130" t="str">
        <f>LEFT(Table4[[#This Row],[direction]],1)</f>
        <v>b</v>
      </c>
      <c r="G130" t="s">
        <v>646</v>
      </c>
      <c r="H130" t="s">
        <v>643</v>
      </c>
      <c r="I130" t="s">
        <v>314</v>
      </c>
      <c r="J130" s="14" t="s">
        <v>645</v>
      </c>
      <c r="K130" t="s">
        <v>315</v>
      </c>
      <c r="L130" t="str">
        <f>IFERROR(LEFT(Table4[[#This Row],[route_codes]],FIND(";",Table4[[#This Row],[route_codes]])-1),Table4[[#This Row],[route_codes]])</f>
        <v>A-c</v>
      </c>
      <c r="M130" t="s">
        <v>713</v>
      </c>
      <c r="O130" t="str">
        <f>IFERROR(LEFT(Table4[[#This Row],[point_codes]],FIND(";",Table4[[#This Row],[point_codes]])-1),Table4[[#This Row],[point_codes]])</f>
        <v>B-7</v>
      </c>
      <c r="P130" t="s">
        <v>784</v>
      </c>
      <c r="Q130">
        <f>IF(ISBLANK(Table4[[#This Row],[point_codes]]), "", LEN(Table4[[#This Row],[point_codes]])-LEN(SUBSTITUTE(Table4[[#This Row],[point_codes]],";",""))+1)</f>
        <v>3</v>
      </c>
      <c r="R130" t="s">
        <v>316</v>
      </c>
      <c r="T130" t="s">
        <v>734</v>
      </c>
      <c r="U130" s="3">
        <f>Table4[[#This Row],[time_out]]-Table4[[#This Row],[time_in]]</f>
        <v>1.388888888888884E-3</v>
      </c>
    </row>
    <row r="131" spans="1:21" x14ac:dyDescent="0.3">
      <c r="A131" s="5">
        <v>45966</v>
      </c>
      <c r="B131" s="3">
        <v>0.46944444444444444</v>
      </c>
      <c r="C131" s="3">
        <v>0.47083333333333333</v>
      </c>
      <c r="D131" t="s">
        <v>15</v>
      </c>
      <c r="E131" t="s">
        <v>16</v>
      </c>
      <c r="F131" t="str">
        <f>LEFT(Table4[[#This Row],[direction]],1)</f>
        <v>b</v>
      </c>
      <c r="G131" t="s">
        <v>646</v>
      </c>
      <c r="H131" t="s">
        <v>643</v>
      </c>
      <c r="I131" t="s">
        <v>317</v>
      </c>
      <c r="J131" s="14" t="s">
        <v>645</v>
      </c>
      <c r="K131" t="s">
        <v>318</v>
      </c>
      <c r="L131" t="str">
        <f>IFERROR(LEFT(Table4[[#This Row],[route_codes]],FIND(";",Table4[[#This Row],[route_codes]])-1),Table4[[#This Row],[route_codes]])</f>
        <v>A-c</v>
      </c>
      <c r="M131" t="s">
        <v>713</v>
      </c>
      <c r="O131" t="str">
        <f>IFERROR(LEFT(Table4[[#This Row],[point_codes]],FIND(";",Table4[[#This Row],[point_codes]])-1),Table4[[#This Row],[point_codes]])</f>
        <v>A-7</v>
      </c>
      <c r="P131" t="s">
        <v>746</v>
      </c>
      <c r="Q131">
        <f>IF(ISBLANK(Table4[[#This Row],[point_codes]]), "", LEN(Table4[[#This Row],[point_codes]])-LEN(SUBSTITUTE(Table4[[#This Row],[point_codes]],";",""))+1)</f>
        <v>3</v>
      </c>
      <c r="R131" t="s">
        <v>319</v>
      </c>
      <c r="T131" t="s">
        <v>734</v>
      </c>
      <c r="U131" s="3">
        <f>Table4[[#This Row],[time_out]]-Table4[[#This Row],[time_in]]</f>
        <v>1.388888888888884E-3</v>
      </c>
    </row>
    <row r="132" spans="1:21" x14ac:dyDescent="0.3">
      <c r="A132" s="5">
        <v>45984</v>
      </c>
      <c r="B132" s="3">
        <v>0.58472222222222225</v>
      </c>
      <c r="C132" s="3">
        <v>0.5854166666666667</v>
      </c>
      <c r="D132" t="s">
        <v>15</v>
      </c>
      <c r="E132" t="s">
        <v>16</v>
      </c>
      <c r="F132" t="str">
        <f>LEFT(Table4[[#This Row],[direction]],1)</f>
        <v>b</v>
      </c>
      <c r="G132" t="s">
        <v>646</v>
      </c>
      <c r="H132" t="s">
        <v>134</v>
      </c>
      <c r="J132" s="14" t="s">
        <v>312</v>
      </c>
      <c r="K132" t="s">
        <v>320</v>
      </c>
      <c r="L132" t="str">
        <f>IFERROR(LEFT(Table4[[#This Row],[route_codes]],FIND(";",Table4[[#This Row],[route_codes]])-1),Table4[[#This Row],[route_codes]])</f>
        <v>A-c</v>
      </c>
      <c r="M132" t="s">
        <v>713</v>
      </c>
      <c r="O132">
        <f>IFERROR(LEFT(Table4[[#This Row],[point_codes]],FIND(";",Table4[[#This Row],[point_codes]])-1),Table4[[#This Row],[point_codes]])</f>
        <v>0</v>
      </c>
      <c r="Q132" t="str">
        <f>IF(ISBLANK(Table4[[#This Row],[point_codes]]), "", LEN(Table4[[#This Row],[point_codes]])-LEN(SUBSTITUTE(Table4[[#This Row],[point_codes]],";",""))+1)</f>
        <v/>
      </c>
      <c r="R132" t="s">
        <v>321</v>
      </c>
      <c r="T132" t="s">
        <v>736</v>
      </c>
      <c r="U132" s="3">
        <f>Table4[[#This Row],[time_out]]-Table4[[#This Row],[time_in]]</f>
        <v>6.9444444444444198E-4</v>
      </c>
    </row>
    <row r="133" spans="1:21" x14ac:dyDescent="0.3">
      <c r="A133" s="5">
        <v>45984</v>
      </c>
      <c r="B133" s="3">
        <v>0.62986111111111109</v>
      </c>
      <c r="C133" s="3">
        <v>0.63124999999999998</v>
      </c>
      <c r="D133" t="s">
        <v>648</v>
      </c>
      <c r="E133" t="s">
        <v>16</v>
      </c>
      <c r="F133" t="str">
        <f>LEFT(Table4[[#This Row],[direction]],1)</f>
        <v>a</v>
      </c>
      <c r="G133" t="s">
        <v>642</v>
      </c>
      <c r="H133" t="s">
        <v>134</v>
      </c>
      <c r="J133" s="14" t="s">
        <v>312</v>
      </c>
      <c r="K133" t="s">
        <v>323</v>
      </c>
      <c r="L133" t="str">
        <f>IFERROR(LEFT(Table4[[#This Row],[route_codes]],FIND(";",Table4[[#This Row],[route_codes]])-1),Table4[[#This Row],[route_codes]])</f>
        <v>A-b</v>
      </c>
      <c r="M133" t="s">
        <v>816</v>
      </c>
      <c r="O133" t="str">
        <f>IFERROR(LEFT(Table4[[#This Row],[point_codes]],FIND(";",Table4[[#This Row],[point_codes]])-1),Table4[[#This Row],[point_codes]])</f>
        <v>A-8</v>
      </c>
      <c r="P133" t="s">
        <v>825</v>
      </c>
      <c r="Q133">
        <f>IF(ISBLANK(Table4[[#This Row],[point_codes]]), "", LEN(Table4[[#This Row],[point_codes]])-LEN(SUBSTITUTE(Table4[[#This Row],[point_codes]],";",""))+1)</f>
        <v>4</v>
      </c>
      <c r="R133" t="s">
        <v>324</v>
      </c>
      <c r="T133" t="s">
        <v>734</v>
      </c>
      <c r="U133" s="3">
        <f>Table4[[#This Row],[time_out]]-Table4[[#This Row],[time_in]]</f>
        <v>1.388888888888884E-3</v>
      </c>
    </row>
    <row r="134" spans="1:21" x14ac:dyDescent="0.3">
      <c r="A134" s="5">
        <v>45966</v>
      </c>
      <c r="B134" s="3">
        <v>0.46875</v>
      </c>
      <c r="C134" s="3">
        <v>0.47569444444444442</v>
      </c>
      <c r="D134" t="s">
        <v>15</v>
      </c>
      <c r="E134" t="s">
        <v>16</v>
      </c>
      <c r="F134" t="str">
        <f>LEFT(Table4[[#This Row],[direction]],1)</f>
        <v>b</v>
      </c>
      <c r="G134" t="s">
        <v>647</v>
      </c>
      <c r="H134" t="s">
        <v>643</v>
      </c>
      <c r="I134" t="s">
        <v>325</v>
      </c>
      <c r="J134" s="14" t="s">
        <v>645</v>
      </c>
      <c r="K134" t="s">
        <v>326</v>
      </c>
      <c r="L134" t="str">
        <f>IFERROR(LEFT(Table4[[#This Row],[route_codes]],FIND(";",Table4[[#This Row],[route_codes]])-1),Table4[[#This Row],[route_codes]])</f>
        <v>A-d</v>
      </c>
      <c r="M134" t="s">
        <v>705</v>
      </c>
      <c r="O134" t="str">
        <f>IFERROR(LEFT(Table4[[#This Row],[point_codes]],FIND(";",Table4[[#This Row],[point_codes]])-1),Table4[[#This Row],[point_codes]])</f>
        <v>A-10</v>
      </c>
      <c r="P134" t="s">
        <v>826</v>
      </c>
      <c r="Q134">
        <f>IF(ISBLANK(Table4[[#This Row],[point_codes]]), "", LEN(Table4[[#This Row],[point_codes]])-LEN(SUBSTITUTE(Table4[[#This Row],[point_codes]],";",""))+1)</f>
        <v>4</v>
      </c>
      <c r="R134" t="s">
        <v>327</v>
      </c>
      <c r="S134" t="s">
        <v>328</v>
      </c>
      <c r="T134" t="s">
        <v>734</v>
      </c>
      <c r="U134" s="3">
        <f>Table4[[#This Row],[time_out]]-Table4[[#This Row],[time_in]]</f>
        <v>6.9444444444444198E-3</v>
      </c>
    </row>
    <row r="135" spans="1:21" x14ac:dyDescent="0.3">
      <c r="A135" s="5">
        <v>45984</v>
      </c>
      <c r="B135" s="3">
        <v>0.61250000000000004</v>
      </c>
      <c r="C135" s="3">
        <v>0.61458333333333337</v>
      </c>
      <c r="D135" t="s">
        <v>648</v>
      </c>
      <c r="E135" t="s">
        <v>16</v>
      </c>
      <c r="F135" t="str">
        <f>LEFT(Table4[[#This Row],[direction]],1)</f>
        <v>b</v>
      </c>
      <c r="G135" t="s">
        <v>646</v>
      </c>
      <c r="H135" t="s">
        <v>312</v>
      </c>
      <c r="J135" s="14" t="s">
        <v>312</v>
      </c>
      <c r="K135" t="s">
        <v>329</v>
      </c>
      <c r="L135" t="str">
        <f>IFERROR(LEFT(Table4[[#This Row],[route_codes]],FIND(";",Table4[[#This Row],[route_codes]])-1),Table4[[#This Row],[route_codes]])</f>
        <v>A-c</v>
      </c>
      <c r="M135" t="s">
        <v>713</v>
      </c>
      <c r="O135" t="str">
        <f>IFERROR(LEFT(Table4[[#This Row],[point_codes]],FIND(";",Table4[[#This Row],[point_codes]])-1),Table4[[#This Row],[point_codes]])</f>
        <v>B-7</v>
      </c>
      <c r="P135" t="s">
        <v>744</v>
      </c>
      <c r="Q135">
        <f>IF(ISBLANK(Table4[[#This Row],[point_codes]]), "", LEN(Table4[[#This Row],[point_codes]])-LEN(SUBSTITUTE(Table4[[#This Row],[point_codes]],";",""))+1)</f>
        <v>1</v>
      </c>
      <c r="R135" t="s">
        <v>330</v>
      </c>
      <c r="T135" t="s">
        <v>734</v>
      </c>
      <c r="U135" s="3">
        <f>Table4[[#This Row],[time_out]]-Table4[[#This Row],[time_in]]</f>
        <v>2.0833333333333259E-3</v>
      </c>
    </row>
    <row r="136" spans="1:21" x14ac:dyDescent="0.3">
      <c r="A136">
        <v>45966</v>
      </c>
      <c r="B136" s="3">
        <v>0.4826388888888889</v>
      </c>
      <c r="C136" s="3">
        <v>0.48749999999999999</v>
      </c>
      <c r="D136" t="s">
        <v>15</v>
      </c>
      <c r="E136" t="s">
        <v>331</v>
      </c>
      <c r="F136" t="str">
        <f>LEFT(Table4[[#This Row],[direction]],1)</f>
        <v>b</v>
      </c>
      <c r="G136" t="s">
        <v>646</v>
      </c>
      <c r="H136" t="s">
        <v>134</v>
      </c>
      <c r="I136" t="s">
        <v>333</v>
      </c>
      <c r="J136" s="14" t="s">
        <v>645</v>
      </c>
      <c r="K136" t="s">
        <v>335</v>
      </c>
      <c r="L136" t="str">
        <f>IFERROR(LEFT(Table4[[#This Row],[route_codes]],FIND(";",Table4[[#This Row],[route_codes]])-1),Table4[[#This Row],[route_codes]])</f>
        <v>B-d</v>
      </c>
      <c r="M136" t="s">
        <v>765</v>
      </c>
      <c r="O136" t="str">
        <f>IFERROR(LEFT(Table4[[#This Row],[point_codes]],FIND(";",Table4[[#This Row],[point_codes]])-1),Table4[[#This Row],[point_codes]])</f>
        <v>B-4</v>
      </c>
      <c r="P136" t="s">
        <v>827</v>
      </c>
      <c r="Q136">
        <f>IF(ISBLANK(Table4[[#This Row],[point_codes]]), "", LEN(Table4[[#This Row],[point_codes]])-LEN(SUBSTITUTE(Table4[[#This Row],[point_codes]],";",""))+1)</f>
        <v>5</v>
      </c>
      <c r="R136" t="s">
        <v>336</v>
      </c>
      <c r="T136" t="s">
        <v>734</v>
      </c>
      <c r="U136" s="3">
        <f>Table4[[#This Row],[time_out]]-Table4[[#This Row],[time_in]]</f>
        <v>4.8611111111110938E-3</v>
      </c>
    </row>
    <row r="137" spans="1:21" x14ac:dyDescent="0.3">
      <c r="A137">
        <v>45973</v>
      </c>
      <c r="B137" s="3">
        <v>0.48958333333333331</v>
      </c>
      <c r="C137" s="3">
        <v>0.49166666666666664</v>
      </c>
      <c r="D137" t="s">
        <v>15</v>
      </c>
      <c r="E137" t="s">
        <v>331</v>
      </c>
      <c r="F137" t="str">
        <f>LEFT(Table4[[#This Row],[direction]],1)</f>
        <v>a</v>
      </c>
      <c r="G137" t="s">
        <v>642</v>
      </c>
      <c r="H137" t="s">
        <v>643</v>
      </c>
      <c r="I137" t="s">
        <v>113</v>
      </c>
      <c r="J137" s="14" t="s">
        <v>645</v>
      </c>
      <c r="K137" t="s">
        <v>338</v>
      </c>
      <c r="L137" t="str">
        <f>IFERROR(LEFT(Table4[[#This Row],[route_codes]],FIND(";",Table4[[#This Row],[route_codes]])-1),Table4[[#This Row],[route_codes]])</f>
        <v>B-b</v>
      </c>
      <c r="M137" t="s">
        <v>758</v>
      </c>
      <c r="O137" t="str">
        <f>IFERROR(LEFT(Table4[[#This Row],[point_codes]],FIND(";",Table4[[#This Row],[point_codes]])-1),Table4[[#This Row],[point_codes]])</f>
        <v>B-4</v>
      </c>
      <c r="P137" t="s">
        <v>828</v>
      </c>
      <c r="Q137">
        <f>IF(ISBLANK(Table4[[#This Row],[point_codes]]), "", LEN(Table4[[#This Row],[point_codes]])-LEN(SUBSTITUTE(Table4[[#This Row],[point_codes]],";",""))+1)</f>
        <v>2</v>
      </c>
      <c r="R137" t="s">
        <v>339</v>
      </c>
      <c r="T137" t="s">
        <v>734</v>
      </c>
      <c r="U137" s="3">
        <f>Table4[[#This Row],[time_out]]-Table4[[#This Row],[time_in]]</f>
        <v>2.0833333333333259E-3</v>
      </c>
    </row>
    <row r="138" spans="1:21" x14ac:dyDescent="0.3">
      <c r="A138">
        <v>45968</v>
      </c>
      <c r="B138" s="3">
        <v>0.51111111111111107</v>
      </c>
      <c r="C138" s="3">
        <v>0.51180555555555551</v>
      </c>
      <c r="D138" t="s">
        <v>115</v>
      </c>
      <c r="E138" t="s">
        <v>331</v>
      </c>
      <c r="F138" t="str">
        <f>LEFT(Table4[[#This Row],[direction]],1)</f>
        <v>a</v>
      </c>
      <c r="G138" t="s">
        <v>642</v>
      </c>
      <c r="H138" t="s">
        <v>643</v>
      </c>
      <c r="J138" s="14" t="s">
        <v>645</v>
      </c>
      <c r="K138" t="s">
        <v>340</v>
      </c>
      <c r="L138">
        <f>IFERROR(LEFT(Table4[[#This Row],[route_codes]],FIND(";",Table4[[#This Row],[route_codes]])-1),Table4[[#This Row],[route_codes]])</f>
        <v>0</v>
      </c>
      <c r="O138" t="str">
        <f>IFERROR(LEFT(Table4[[#This Row],[point_codes]],FIND(";",Table4[[#This Row],[point_codes]])-1),Table4[[#This Row],[point_codes]])</f>
        <v>B-9</v>
      </c>
      <c r="P138" t="s">
        <v>761</v>
      </c>
      <c r="Q138">
        <f>IF(ISBLANK(Table4[[#This Row],[point_codes]]), "", LEN(Table4[[#This Row],[point_codes]])-LEN(SUBSTITUTE(Table4[[#This Row],[point_codes]],";",""))+1)</f>
        <v>1</v>
      </c>
      <c r="R138" t="s">
        <v>341</v>
      </c>
      <c r="S138" t="s">
        <v>342</v>
      </c>
      <c r="T138" t="s">
        <v>735</v>
      </c>
      <c r="U138" s="3">
        <f>Table4[[#This Row],[time_out]]-Table4[[#This Row],[time_in]]</f>
        <v>6.9444444444444198E-4</v>
      </c>
    </row>
    <row r="139" spans="1:21" x14ac:dyDescent="0.3">
      <c r="A139">
        <v>45980</v>
      </c>
      <c r="B139" s="3">
        <v>0.625</v>
      </c>
      <c r="C139" s="3">
        <v>0.62569444444444444</v>
      </c>
      <c r="D139" t="s">
        <v>15</v>
      </c>
      <c r="E139" t="s">
        <v>331</v>
      </c>
      <c r="F139" t="str">
        <f>LEFT(Table4[[#This Row],[direction]],1)</f>
        <v>a</v>
      </c>
      <c r="G139" t="s">
        <v>642</v>
      </c>
      <c r="H139" t="s">
        <v>134</v>
      </c>
      <c r="I139" t="s">
        <v>344</v>
      </c>
      <c r="J139" s="14" t="s">
        <v>645</v>
      </c>
      <c r="K139" t="s">
        <v>345</v>
      </c>
      <c r="L139">
        <f>IFERROR(LEFT(Table4[[#This Row],[route_codes]],FIND(";",Table4[[#This Row],[route_codes]])-1),Table4[[#This Row],[route_codes]])</f>
        <v>0</v>
      </c>
      <c r="O139">
        <f>IFERROR(LEFT(Table4[[#This Row],[point_codes]],FIND(";",Table4[[#This Row],[point_codes]])-1),Table4[[#This Row],[point_codes]])</f>
        <v>0</v>
      </c>
      <c r="Q139" t="str">
        <f>IF(ISBLANK(Table4[[#This Row],[point_codes]]), "", LEN(Table4[[#This Row],[point_codes]])-LEN(SUBSTITUTE(Table4[[#This Row],[point_codes]],";",""))+1)</f>
        <v/>
      </c>
      <c r="R139" t="s">
        <v>341</v>
      </c>
      <c r="S139" t="s">
        <v>346</v>
      </c>
      <c r="T139" t="s">
        <v>736</v>
      </c>
      <c r="U139" s="3">
        <f>Table4[[#This Row],[time_out]]-Table4[[#This Row],[time_in]]</f>
        <v>6.9444444444444198E-4</v>
      </c>
    </row>
    <row r="140" spans="1:21" x14ac:dyDescent="0.3">
      <c r="A140">
        <v>45980</v>
      </c>
      <c r="B140" s="3">
        <v>0.60972222222222228</v>
      </c>
      <c r="C140" s="3">
        <v>0.61111111111111116</v>
      </c>
      <c r="D140" t="s">
        <v>15</v>
      </c>
      <c r="E140" t="s">
        <v>331</v>
      </c>
      <c r="F140" t="str">
        <f>LEFT(Table4[[#This Row],[direction]],1)</f>
        <v>a</v>
      </c>
      <c r="G140" t="s">
        <v>642</v>
      </c>
      <c r="H140" t="s">
        <v>490</v>
      </c>
      <c r="I140" t="s">
        <v>347</v>
      </c>
      <c r="J140" s="14" t="s">
        <v>645</v>
      </c>
      <c r="K140" t="s">
        <v>348</v>
      </c>
      <c r="L140" t="str">
        <f>IFERROR(LEFT(Table4[[#This Row],[route_codes]],FIND(";",Table4[[#This Row],[route_codes]])-1),Table4[[#This Row],[route_codes]])</f>
        <v>B-a</v>
      </c>
      <c r="M140" t="s">
        <v>755</v>
      </c>
      <c r="O140" t="str">
        <f>IFERROR(LEFT(Table4[[#This Row],[point_codes]],FIND(";",Table4[[#This Row],[point_codes]])-1),Table4[[#This Row],[point_codes]])</f>
        <v>B-3</v>
      </c>
      <c r="P140" t="s">
        <v>829</v>
      </c>
      <c r="Q140">
        <f>IF(ISBLANK(Table4[[#This Row],[point_codes]]), "", LEN(Table4[[#This Row],[point_codes]])-LEN(SUBSTITUTE(Table4[[#This Row],[point_codes]],";",""))+1)</f>
        <v>1</v>
      </c>
      <c r="R140" t="s">
        <v>349</v>
      </c>
      <c r="S140" t="s">
        <v>350</v>
      </c>
      <c r="T140" t="s">
        <v>734</v>
      </c>
      <c r="U140" s="3">
        <f>Table4[[#This Row],[time_out]]-Table4[[#This Row],[time_in]]</f>
        <v>1.388888888888884E-3</v>
      </c>
    </row>
    <row r="141" spans="1:21" x14ac:dyDescent="0.3">
      <c r="A141">
        <v>45980</v>
      </c>
      <c r="B141" s="3">
        <v>0.60972222222222228</v>
      </c>
      <c r="C141" s="3">
        <v>0.6118055555555556</v>
      </c>
      <c r="D141" t="s">
        <v>15</v>
      </c>
      <c r="E141" t="s">
        <v>331</v>
      </c>
      <c r="F141" t="str">
        <f>LEFT(Table4[[#This Row],[direction]],1)</f>
        <v>a</v>
      </c>
      <c r="G141" t="s">
        <v>642</v>
      </c>
      <c r="H141" t="s">
        <v>643</v>
      </c>
      <c r="I141" t="s">
        <v>40</v>
      </c>
      <c r="J141" s="14" t="s">
        <v>645</v>
      </c>
      <c r="K141" t="s">
        <v>351</v>
      </c>
      <c r="L141">
        <f>IFERROR(LEFT(Table4[[#This Row],[route_codes]],FIND(";",Table4[[#This Row],[route_codes]])-1),Table4[[#This Row],[route_codes]])</f>
        <v>0</v>
      </c>
      <c r="O141">
        <f>IFERROR(LEFT(Table4[[#This Row],[point_codes]],FIND(";",Table4[[#This Row],[point_codes]])-1),Table4[[#This Row],[point_codes]])</f>
        <v>0</v>
      </c>
      <c r="Q141" t="str">
        <f>IF(ISBLANK(Table4[[#This Row],[point_codes]]), "", LEN(Table4[[#This Row],[point_codes]])-LEN(SUBSTITUTE(Table4[[#This Row],[point_codes]],";",""))+1)</f>
        <v/>
      </c>
      <c r="R141" t="s">
        <v>352</v>
      </c>
      <c r="S141" t="s">
        <v>353</v>
      </c>
      <c r="T141" t="s">
        <v>735</v>
      </c>
      <c r="U141" s="3">
        <f>Table4[[#This Row],[time_out]]-Table4[[#This Row],[time_in]]</f>
        <v>2.0833333333333259E-3</v>
      </c>
    </row>
    <row r="142" spans="1:21" x14ac:dyDescent="0.3">
      <c r="A142" s="15">
        <v>45973</v>
      </c>
      <c r="B142" s="16">
        <v>0.49305555555555558</v>
      </c>
      <c r="C142" s="16">
        <v>0.49444444444444446</v>
      </c>
      <c r="D142" s="15" t="s">
        <v>15</v>
      </c>
      <c r="E142" s="15" t="s">
        <v>331</v>
      </c>
      <c r="F142" s="15" t="str">
        <f>LEFT(Table4[[#This Row],[direction]],1)</f>
        <v>a</v>
      </c>
      <c r="G142" s="15" t="s">
        <v>642</v>
      </c>
      <c r="H142" s="15" t="s">
        <v>490</v>
      </c>
      <c r="I142" s="15" t="s">
        <v>354</v>
      </c>
      <c r="J142" s="17" t="s">
        <v>645</v>
      </c>
      <c r="K142" s="15" t="s">
        <v>355</v>
      </c>
      <c r="L142" s="15">
        <f>IFERROR(LEFT(Table4[[#This Row],[route_codes]],FIND(";",Table4[[#This Row],[route_codes]])-1),Table4[[#This Row],[route_codes]])</f>
        <v>0</v>
      </c>
      <c r="M142" s="15"/>
      <c r="N142" s="15"/>
      <c r="O142" s="15" t="str">
        <f>IFERROR(LEFT(Table4[[#This Row],[point_codes]],FIND(";",Table4[[#This Row],[point_codes]])-1),Table4[[#This Row],[point_codes]])</f>
        <v>B-14</v>
      </c>
      <c r="P142" s="15" t="s">
        <v>834</v>
      </c>
      <c r="Q142" s="15">
        <f>IF(ISBLANK(Table4[[#This Row],[point_codes]]), "", LEN(Table4[[#This Row],[point_codes]])-LEN(SUBSTITUTE(Table4[[#This Row],[point_codes]],";",""))+1)</f>
        <v>1</v>
      </c>
      <c r="R142" s="15" t="s">
        <v>356</v>
      </c>
      <c r="S142" s="15" t="s">
        <v>357</v>
      </c>
      <c r="T142" s="15" t="s">
        <v>734</v>
      </c>
      <c r="U142" s="16">
        <f>Table4[[#This Row],[time_out]]-Table4[[#This Row],[time_in]]</f>
        <v>1.388888888888884E-3</v>
      </c>
    </row>
    <row r="143" spans="1:21" x14ac:dyDescent="0.3">
      <c r="B143" s="3">
        <v>0.49722222222222223</v>
      </c>
      <c r="C143" s="3">
        <v>0.49791666666666667</v>
      </c>
      <c r="D143" t="s">
        <v>15</v>
      </c>
      <c r="E143" t="s">
        <v>331</v>
      </c>
      <c r="F143" t="str">
        <f>LEFT(Table4[[#This Row],[direction]],1)</f>
        <v>a</v>
      </c>
      <c r="G143" t="s">
        <v>642</v>
      </c>
      <c r="H143" t="s">
        <v>643</v>
      </c>
      <c r="I143" t="s">
        <v>50</v>
      </c>
      <c r="J143" s="14" t="s">
        <v>645</v>
      </c>
      <c r="K143" t="s">
        <v>358</v>
      </c>
      <c r="L143" t="str">
        <f>IFERROR(LEFT(Table4[[#This Row],[route_codes]],FIND(";",Table4[[#This Row],[route_codes]])-1),Table4[[#This Row],[route_codes]])</f>
        <v>B-b</v>
      </c>
      <c r="M143" t="s">
        <v>758</v>
      </c>
      <c r="O143" t="str">
        <f>IFERROR(LEFT(Table4[[#This Row],[point_codes]],FIND(";",Table4[[#This Row],[point_codes]])-1),Table4[[#This Row],[point_codes]])</f>
        <v>B-13</v>
      </c>
      <c r="P143" t="s">
        <v>830</v>
      </c>
      <c r="Q143">
        <f>IF(ISBLANK(Table4[[#This Row],[point_codes]]), "", LEN(Table4[[#This Row],[point_codes]])-LEN(SUBSTITUTE(Table4[[#This Row],[point_codes]],";",""))+1)</f>
        <v>1</v>
      </c>
      <c r="R143" t="s">
        <v>359</v>
      </c>
      <c r="S143" t="s">
        <v>360</v>
      </c>
      <c r="T143" t="s">
        <v>734</v>
      </c>
      <c r="U143" s="3">
        <f>Table4[[#This Row],[time_out]]-Table4[[#This Row],[time_in]]</f>
        <v>6.9444444444444198E-4</v>
      </c>
    </row>
    <row r="144" spans="1:21" x14ac:dyDescent="0.3">
      <c r="A144">
        <v>45984</v>
      </c>
      <c r="B144" s="3">
        <v>0.60347222222222219</v>
      </c>
      <c r="C144" s="3">
        <v>0.60416666666666663</v>
      </c>
      <c r="D144" t="s">
        <v>361</v>
      </c>
      <c r="E144" t="s">
        <v>331</v>
      </c>
      <c r="F144" t="str">
        <f>LEFT(Table4[[#This Row],[direction]],1)</f>
        <v>b</v>
      </c>
      <c r="G144" t="s">
        <v>646</v>
      </c>
      <c r="H144" t="s">
        <v>490</v>
      </c>
      <c r="J144" s="14" t="s">
        <v>644</v>
      </c>
      <c r="K144" t="s">
        <v>363</v>
      </c>
      <c r="L144">
        <f>IFERROR(LEFT(Table4[[#This Row],[route_codes]],FIND(";",Table4[[#This Row],[route_codes]])-1),Table4[[#This Row],[route_codes]])</f>
        <v>0</v>
      </c>
      <c r="O144" t="str">
        <f>IFERROR(LEFT(Table4[[#This Row],[point_codes]],FIND(";",Table4[[#This Row],[point_codes]])-1),Table4[[#This Row],[point_codes]])</f>
        <v>B-4</v>
      </c>
      <c r="P144" t="s">
        <v>831</v>
      </c>
      <c r="Q144">
        <f>IF(ISBLANK(Table4[[#This Row],[point_codes]]), "", LEN(Table4[[#This Row],[point_codes]])-LEN(SUBSTITUTE(Table4[[#This Row],[point_codes]],";",""))+1)</f>
        <v>2</v>
      </c>
      <c r="R144" t="s">
        <v>364</v>
      </c>
      <c r="T144" t="s">
        <v>734</v>
      </c>
      <c r="U144" s="3">
        <f>Table4[[#This Row],[time_out]]-Table4[[#This Row],[time_in]]</f>
        <v>6.9444444444444198E-4</v>
      </c>
    </row>
    <row r="145" spans="1:21" x14ac:dyDescent="0.3">
      <c r="A145" s="15">
        <v>45966</v>
      </c>
      <c r="B145" s="16"/>
      <c r="C145" s="16"/>
      <c r="D145" s="15" t="s">
        <v>15</v>
      </c>
      <c r="E145" s="15" t="s">
        <v>331</v>
      </c>
      <c r="F145" s="15" t="str">
        <f>LEFT(Table4[[#This Row],[direction]],1)</f>
        <v>u</v>
      </c>
      <c r="G145" s="15" t="s">
        <v>312</v>
      </c>
      <c r="H145" s="15" t="s">
        <v>312</v>
      </c>
      <c r="I145" s="15"/>
      <c r="J145" s="17" t="s">
        <v>312</v>
      </c>
      <c r="K145" s="15"/>
      <c r="L145" s="15">
        <f>IFERROR(LEFT(Table4[[#This Row],[route_codes]],FIND(";",Table4[[#This Row],[route_codes]])-1),Table4[[#This Row],[route_codes]])</f>
        <v>0</v>
      </c>
      <c r="M145" s="15"/>
      <c r="N145" s="15"/>
      <c r="O145" s="15">
        <f>IFERROR(LEFT(Table4[[#This Row],[point_codes]],FIND(";",Table4[[#This Row],[point_codes]])-1),Table4[[#This Row],[point_codes]])</f>
        <v>0</v>
      </c>
      <c r="P145" s="15"/>
      <c r="Q145" s="15" t="str">
        <f>IF(ISBLANK(Table4[[#This Row],[point_codes]]), "", LEN(Table4[[#This Row],[point_codes]])-LEN(SUBSTITUTE(Table4[[#This Row],[point_codes]],";",""))+1)</f>
        <v/>
      </c>
      <c r="R145" s="15"/>
      <c r="S145" s="15" t="s">
        <v>365</v>
      </c>
      <c r="T145" s="15" t="s">
        <v>840</v>
      </c>
      <c r="U145" s="16">
        <f>Table4[[#This Row],[time_out]]-Table4[[#This Row],[time_in]]</f>
        <v>0</v>
      </c>
    </row>
    <row r="146" spans="1:21" x14ac:dyDescent="0.3">
      <c r="A146">
        <v>45973</v>
      </c>
      <c r="B146" s="3">
        <v>0.46180555555555558</v>
      </c>
      <c r="C146" s="3">
        <v>0.46875</v>
      </c>
      <c r="D146" t="s">
        <v>15</v>
      </c>
      <c r="E146" t="s">
        <v>331</v>
      </c>
      <c r="F146" t="str">
        <f>LEFT(Table4[[#This Row],[direction]],1)</f>
        <v>b</v>
      </c>
      <c r="G146" t="s">
        <v>646</v>
      </c>
      <c r="H146" t="s">
        <v>643</v>
      </c>
      <c r="I146" t="s">
        <v>300</v>
      </c>
      <c r="J146" s="14" t="s">
        <v>645</v>
      </c>
      <c r="K146" t="s">
        <v>366</v>
      </c>
      <c r="L146" t="str">
        <f>IFERROR(LEFT(Table4[[#This Row],[route_codes]],FIND(";",Table4[[#This Row],[route_codes]])-1),Table4[[#This Row],[route_codes]])</f>
        <v>B-d</v>
      </c>
      <c r="M146" t="s">
        <v>763</v>
      </c>
      <c r="O146" t="str">
        <f>IFERROR(LEFT(Table4[[#This Row],[point_codes]],FIND(";",Table4[[#This Row],[point_codes]])-1),Table4[[#This Row],[point_codes]])</f>
        <v>B-9</v>
      </c>
      <c r="P146" t="s">
        <v>832</v>
      </c>
      <c r="Q146">
        <f>IF(ISBLANK(Table4[[#This Row],[point_codes]]), "", LEN(Table4[[#This Row],[point_codes]])-LEN(SUBSTITUTE(Table4[[#This Row],[point_codes]],";",""))+1)</f>
        <v>11</v>
      </c>
      <c r="R146" t="s">
        <v>367</v>
      </c>
      <c r="S146" t="s">
        <v>368</v>
      </c>
      <c r="T146" t="s">
        <v>734</v>
      </c>
      <c r="U146" s="3">
        <f>Table4[[#This Row],[time_out]]-Table4[[#This Row],[time_in]]</f>
        <v>6.9444444444444198E-3</v>
      </c>
    </row>
    <row r="147" spans="1:21" x14ac:dyDescent="0.3">
      <c r="B147" s="3">
        <v>0.61458333333333337</v>
      </c>
      <c r="C147" s="3">
        <v>0.61527777777777781</v>
      </c>
      <c r="D147" t="s">
        <v>361</v>
      </c>
      <c r="E147" t="s">
        <v>331</v>
      </c>
      <c r="F147" t="str">
        <f>LEFT(Table4[[#This Row],[direction]],1)</f>
        <v>b</v>
      </c>
      <c r="G147" t="s">
        <v>646</v>
      </c>
      <c r="H147" t="s">
        <v>134</v>
      </c>
      <c r="J147" s="14" t="s">
        <v>645</v>
      </c>
      <c r="K147" t="s">
        <v>369</v>
      </c>
      <c r="L147">
        <f>IFERROR(LEFT(Table4[[#This Row],[route_codes]],FIND(";",Table4[[#This Row],[route_codes]])-1),Table4[[#This Row],[route_codes]])</f>
        <v>0</v>
      </c>
      <c r="O147" t="str">
        <f>IFERROR(LEFT(Table4[[#This Row],[point_codes]],FIND(";",Table4[[#This Row],[point_codes]])-1),Table4[[#This Row],[point_codes]])</f>
        <v>B-13</v>
      </c>
      <c r="P147" t="s">
        <v>830</v>
      </c>
      <c r="Q147">
        <f>IF(ISBLANK(Table4[[#This Row],[point_codes]]), "", LEN(Table4[[#This Row],[point_codes]])-LEN(SUBSTITUTE(Table4[[#This Row],[point_codes]],";",""))+1)</f>
        <v>1</v>
      </c>
      <c r="R147" t="s">
        <v>369</v>
      </c>
      <c r="T147" t="s">
        <v>735</v>
      </c>
      <c r="U147" s="3">
        <f>Table4[[#This Row],[time_out]]-Table4[[#This Row],[time_in]]</f>
        <v>6.9444444444444198E-4</v>
      </c>
    </row>
    <row r="148" spans="1:21" x14ac:dyDescent="0.3">
      <c r="A148">
        <v>45966</v>
      </c>
      <c r="B148" s="3">
        <v>0.49652777777777779</v>
      </c>
      <c r="C148" s="3">
        <v>0.49791666666666667</v>
      </c>
      <c r="D148" t="s">
        <v>15</v>
      </c>
      <c r="E148" t="s">
        <v>331</v>
      </c>
      <c r="F148" t="str">
        <f>LEFT(Table4[[#This Row],[direction]],1)</f>
        <v>a</v>
      </c>
      <c r="G148" t="s">
        <v>642</v>
      </c>
      <c r="H148" t="s">
        <v>643</v>
      </c>
      <c r="I148" t="s">
        <v>50</v>
      </c>
      <c r="J148" s="14" t="s">
        <v>645</v>
      </c>
      <c r="K148" t="s">
        <v>370</v>
      </c>
      <c r="L148">
        <f>IFERROR(LEFT(Table4[[#This Row],[route_codes]],FIND(";",Table4[[#This Row],[route_codes]])-1),Table4[[#This Row],[route_codes]])</f>
        <v>0</v>
      </c>
      <c r="O148" t="str">
        <f>IFERROR(LEFT(Table4[[#This Row],[point_codes]],FIND(";",Table4[[#This Row],[point_codes]])-1),Table4[[#This Row],[point_codes]])</f>
        <v>B-13</v>
      </c>
      <c r="P148" t="s">
        <v>830</v>
      </c>
      <c r="Q148">
        <f>IF(ISBLANK(Table4[[#This Row],[point_codes]]), "", LEN(Table4[[#This Row],[point_codes]])-LEN(SUBSTITUTE(Table4[[#This Row],[point_codes]],";",""))+1)</f>
        <v>1</v>
      </c>
      <c r="R148" t="s">
        <v>370</v>
      </c>
      <c r="S148" t="s">
        <v>371</v>
      </c>
      <c r="T148" t="s">
        <v>735</v>
      </c>
      <c r="U148" s="3">
        <f>Table4[[#This Row],[time_out]]-Table4[[#This Row],[time_in]]</f>
        <v>1.388888888888884E-3</v>
      </c>
    </row>
    <row r="149" spans="1:21" x14ac:dyDescent="0.3">
      <c r="A149">
        <v>45973</v>
      </c>
      <c r="B149" s="3">
        <v>0.46736111111111112</v>
      </c>
      <c r="C149" s="3">
        <v>0.46875</v>
      </c>
      <c r="D149" t="s">
        <v>15</v>
      </c>
      <c r="E149" t="s">
        <v>331</v>
      </c>
      <c r="F149" t="str">
        <f>LEFT(Table4[[#This Row],[direction]],1)</f>
        <v>a</v>
      </c>
      <c r="G149" t="s">
        <v>642</v>
      </c>
      <c r="H149" t="s">
        <v>643</v>
      </c>
      <c r="I149" t="s">
        <v>82</v>
      </c>
      <c r="J149" s="14" t="s">
        <v>644</v>
      </c>
      <c r="K149" t="s">
        <v>372</v>
      </c>
      <c r="L149">
        <f>IFERROR(LEFT(Table4[[#This Row],[route_codes]],FIND(";",Table4[[#This Row],[route_codes]])-1),Table4[[#This Row],[route_codes]])</f>
        <v>0</v>
      </c>
      <c r="O149" t="str">
        <f>IFERROR(LEFT(Table4[[#This Row],[point_codes]],FIND(";",Table4[[#This Row],[point_codes]])-1),Table4[[#This Row],[point_codes]])</f>
        <v>B-3</v>
      </c>
      <c r="P149" t="s">
        <v>837</v>
      </c>
      <c r="Q149">
        <f>IF(ISBLANK(Table4[[#This Row],[point_codes]]), "", LEN(Table4[[#This Row],[point_codes]])-LEN(SUBSTITUTE(Table4[[#This Row],[point_codes]],";",""))+1)</f>
        <v>3</v>
      </c>
      <c r="R149" t="s">
        <v>372</v>
      </c>
      <c r="S149" t="s">
        <v>373</v>
      </c>
      <c r="T149" t="s">
        <v>734</v>
      </c>
      <c r="U149" s="3">
        <f>Table4[[#This Row],[time_out]]-Table4[[#This Row],[time_in]]</f>
        <v>1.388888888888884E-3</v>
      </c>
    </row>
    <row r="150" spans="1:21" x14ac:dyDescent="0.3">
      <c r="A150">
        <v>45966</v>
      </c>
      <c r="B150" s="3">
        <v>0.49305555555555558</v>
      </c>
      <c r="C150" s="3">
        <v>0.49444444444444446</v>
      </c>
      <c r="D150" t="s">
        <v>15</v>
      </c>
      <c r="E150" t="s">
        <v>331</v>
      </c>
      <c r="F150" t="str">
        <f>LEFT(Table4[[#This Row],[direction]],1)</f>
        <v>b</v>
      </c>
      <c r="G150" t="s">
        <v>646</v>
      </c>
      <c r="H150" t="s">
        <v>134</v>
      </c>
      <c r="I150" t="s">
        <v>374</v>
      </c>
      <c r="J150" s="14" t="s">
        <v>645</v>
      </c>
      <c r="K150" t="s">
        <v>375</v>
      </c>
      <c r="L150">
        <f>IFERROR(LEFT(Table4[[#This Row],[route_codes]],FIND(";",Table4[[#This Row],[route_codes]])-1),Table4[[#This Row],[route_codes]])</f>
        <v>0</v>
      </c>
      <c r="O150" t="str">
        <f>IFERROR(LEFT(Table4[[#This Row],[point_codes]],FIND(";",Table4[[#This Row],[point_codes]])-1),Table4[[#This Row],[point_codes]])</f>
        <v>B-4</v>
      </c>
      <c r="P150" t="s">
        <v>838</v>
      </c>
      <c r="Q150">
        <f>IF(ISBLANK(Table4[[#This Row],[point_codes]]), "", LEN(Table4[[#This Row],[point_codes]])-LEN(SUBSTITUTE(Table4[[#This Row],[point_codes]],";",""))+1)</f>
        <v>1</v>
      </c>
      <c r="R150" t="s">
        <v>376</v>
      </c>
      <c r="T150" t="s">
        <v>734</v>
      </c>
      <c r="U150" s="3">
        <f>Table4[[#This Row],[time_out]]-Table4[[#This Row],[time_in]]</f>
        <v>1.388888888888884E-3</v>
      </c>
    </row>
    <row r="151" spans="1:21" x14ac:dyDescent="0.3">
      <c r="A151" s="15">
        <v>45981</v>
      </c>
      <c r="B151" s="16">
        <v>0.5180555555555556</v>
      </c>
      <c r="C151" s="16">
        <v>0.51944444444444449</v>
      </c>
      <c r="D151" s="15" t="s">
        <v>115</v>
      </c>
      <c r="E151" s="15" t="s">
        <v>331</v>
      </c>
      <c r="F151" s="15" t="str">
        <f>LEFT(Table4[[#This Row],[direction]],1)</f>
        <v>a</v>
      </c>
      <c r="G151" s="15" t="s">
        <v>642</v>
      </c>
      <c r="H151" s="15" t="s">
        <v>134</v>
      </c>
      <c r="I151" s="15" t="s">
        <v>377</v>
      </c>
      <c r="J151" s="17" t="s">
        <v>645</v>
      </c>
      <c r="K151" s="15" t="s">
        <v>379</v>
      </c>
      <c r="L151" s="15" t="str">
        <f>IFERROR(LEFT(Table4[[#This Row],[route_codes]],FIND(";",Table4[[#This Row],[route_codes]])-1),Table4[[#This Row],[route_codes]])</f>
        <v>B-d</v>
      </c>
      <c r="M151" s="15" t="s">
        <v>765</v>
      </c>
      <c r="N151" s="15"/>
      <c r="O151" s="15" t="str">
        <f>IFERROR(LEFT(Table4[[#This Row],[point_codes]],FIND(";",Table4[[#This Row],[point_codes]])-1),Table4[[#This Row],[point_codes]])</f>
        <v>B-13</v>
      </c>
      <c r="P151" s="15" t="s">
        <v>839</v>
      </c>
      <c r="Q151" s="15">
        <f>IF(ISBLANK(Table4[[#This Row],[point_codes]]), "", LEN(Table4[[#This Row],[point_codes]])-LEN(SUBSTITUTE(Table4[[#This Row],[point_codes]],";",""))+1)</f>
        <v>3</v>
      </c>
      <c r="R151" s="15" t="s">
        <v>380</v>
      </c>
      <c r="S151" s="15"/>
      <c r="T151" s="15" t="s">
        <v>734</v>
      </c>
      <c r="U151" s="16">
        <f>Table4[[#This Row],[time_out]]-Table4[[#This Row],[time_in]]</f>
        <v>1.388888888888884E-3</v>
      </c>
    </row>
    <row r="152" spans="1:21" x14ac:dyDescent="0.3">
      <c r="A152">
        <v>45973</v>
      </c>
      <c r="B152" s="3">
        <v>0.48958333333333331</v>
      </c>
      <c r="C152" s="3">
        <v>0.49027777777777776</v>
      </c>
      <c r="D152" t="s">
        <v>15</v>
      </c>
      <c r="E152" t="s">
        <v>331</v>
      </c>
      <c r="F152" t="str">
        <f>LEFT(Table4[[#This Row],[direction]],1)</f>
        <v>b</v>
      </c>
      <c r="G152" t="s">
        <v>646</v>
      </c>
      <c r="H152" t="s">
        <v>134</v>
      </c>
      <c r="I152" t="s">
        <v>381</v>
      </c>
      <c r="J152" s="14" t="s">
        <v>645</v>
      </c>
      <c r="K152" t="s">
        <v>383</v>
      </c>
      <c r="L152">
        <f>IFERROR(LEFT(Table4[[#This Row],[route_codes]],FIND(";",Table4[[#This Row],[route_codes]])-1),Table4[[#This Row],[route_codes]])</f>
        <v>0</v>
      </c>
      <c r="O152">
        <f>IFERROR(LEFT(Table4[[#This Row],[point_codes]],FIND(";",Table4[[#This Row],[point_codes]])-1),Table4[[#This Row],[point_codes]])</f>
        <v>0</v>
      </c>
      <c r="Q152" t="str">
        <f>IF(ISBLANK(Table4[[#This Row],[point_codes]]), "", LEN(Table4[[#This Row],[point_codes]])-LEN(SUBSTITUTE(Table4[[#This Row],[point_codes]],";",""))+1)</f>
        <v/>
      </c>
      <c r="R152" t="s">
        <v>122</v>
      </c>
      <c r="T152" t="s">
        <v>736</v>
      </c>
      <c r="U152" s="3">
        <f>Table4[[#This Row],[time_out]]-Table4[[#This Row],[time_in]]</f>
        <v>6.9444444444444198E-4</v>
      </c>
    </row>
    <row r="153" spans="1:21" x14ac:dyDescent="0.3">
      <c r="A153">
        <v>45980</v>
      </c>
      <c r="B153" s="3">
        <v>0.64930555555555558</v>
      </c>
      <c r="C153" s="3">
        <v>0.65138888888888891</v>
      </c>
      <c r="D153" t="s">
        <v>15</v>
      </c>
      <c r="E153" t="s">
        <v>331</v>
      </c>
      <c r="F153" t="str">
        <f>LEFT(Table4[[#This Row],[direction]],1)</f>
        <v>a</v>
      </c>
      <c r="G153" t="s">
        <v>642</v>
      </c>
      <c r="H153" t="s">
        <v>134</v>
      </c>
      <c r="I153" t="s">
        <v>384</v>
      </c>
      <c r="J153" s="14" t="s">
        <v>645</v>
      </c>
      <c r="K153" t="s">
        <v>385</v>
      </c>
      <c r="L153" t="str">
        <f>IFERROR(LEFT(Table4[[#This Row],[route_codes]],FIND(";",Table4[[#This Row],[route_codes]])-1),Table4[[#This Row],[route_codes]])</f>
        <v>B-c</v>
      </c>
      <c r="M153" t="s">
        <v>841</v>
      </c>
      <c r="O153" t="str">
        <f>IFERROR(LEFT(Table4[[#This Row],[point_codes]],FIND(";",Table4[[#This Row],[point_codes]])-1),Table4[[#This Row],[point_codes]])</f>
        <v>B-7</v>
      </c>
      <c r="P153" t="s">
        <v>842</v>
      </c>
      <c r="Q153">
        <f>IF(ISBLANK(Table4[[#This Row],[point_codes]]), "", LEN(Table4[[#This Row],[point_codes]])-LEN(SUBSTITUTE(Table4[[#This Row],[point_codes]],";",""))+1)</f>
        <v>3</v>
      </c>
      <c r="T153" t="s">
        <v>734</v>
      </c>
      <c r="U153" s="3">
        <f>Table4[[#This Row],[time_out]]-Table4[[#This Row],[time_in]]</f>
        <v>2.0833333333333259E-3</v>
      </c>
    </row>
    <row r="154" spans="1:21" x14ac:dyDescent="0.3">
      <c r="A154">
        <v>45980</v>
      </c>
      <c r="B154" s="3">
        <v>0.64861111111111114</v>
      </c>
      <c r="C154" s="3">
        <v>0.65069444444444446</v>
      </c>
      <c r="D154" t="s">
        <v>15</v>
      </c>
      <c r="E154" t="s">
        <v>331</v>
      </c>
      <c r="F154" t="str">
        <f>LEFT(Table4[[#This Row],[direction]],1)</f>
        <v>a</v>
      </c>
      <c r="G154" t="s">
        <v>642</v>
      </c>
      <c r="H154" t="s">
        <v>643</v>
      </c>
      <c r="I154" t="s">
        <v>386</v>
      </c>
      <c r="J154" s="14" t="s">
        <v>644</v>
      </c>
      <c r="K154" t="s">
        <v>388</v>
      </c>
      <c r="L154">
        <f>IFERROR(LEFT(Table4[[#This Row],[route_codes]],FIND(";",Table4[[#This Row],[route_codes]])-1),Table4[[#This Row],[route_codes]])</f>
        <v>0</v>
      </c>
      <c r="O154">
        <f>IFERROR(LEFT(Table4[[#This Row],[point_codes]],FIND(";",Table4[[#This Row],[point_codes]])-1),Table4[[#This Row],[point_codes]])</f>
        <v>0</v>
      </c>
      <c r="Q154" t="str">
        <f>IF(ISBLANK(Table4[[#This Row],[point_codes]]), "", LEN(Table4[[#This Row],[point_codes]])-LEN(SUBSTITUTE(Table4[[#This Row],[point_codes]],";",""))+1)</f>
        <v/>
      </c>
      <c r="R154" t="s">
        <v>122</v>
      </c>
      <c r="T154" t="s">
        <v>736</v>
      </c>
      <c r="U154" s="3">
        <f>Table4[[#This Row],[time_out]]-Table4[[#This Row],[time_in]]</f>
        <v>2.0833333333333259E-3</v>
      </c>
    </row>
    <row r="155" spans="1:21" x14ac:dyDescent="0.3">
      <c r="A155">
        <v>45980</v>
      </c>
      <c r="B155" s="3">
        <v>0.60833333333333328</v>
      </c>
      <c r="C155" s="3">
        <v>0.60902777777777772</v>
      </c>
      <c r="D155" t="s">
        <v>15</v>
      </c>
      <c r="E155" t="s">
        <v>331</v>
      </c>
      <c r="F155" t="str">
        <f>LEFT(Table4[[#This Row],[direction]],1)</f>
        <v>a</v>
      </c>
      <c r="G155" t="s">
        <v>642</v>
      </c>
      <c r="H155" t="s">
        <v>134</v>
      </c>
      <c r="I155" t="s">
        <v>165</v>
      </c>
      <c r="J155" s="14" t="s">
        <v>645</v>
      </c>
      <c r="K155" t="s">
        <v>388</v>
      </c>
      <c r="L155">
        <f>IFERROR(LEFT(Table4[[#This Row],[route_codes]],FIND(";",Table4[[#This Row],[route_codes]])-1),Table4[[#This Row],[route_codes]])</f>
        <v>0</v>
      </c>
      <c r="O155">
        <f>IFERROR(LEFT(Table4[[#This Row],[point_codes]],FIND(";",Table4[[#This Row],[point_codes]])-1),Table4[[#This Row],[point_codes]])</f>
        <v>0</v>
      </c>
      <c r="Q155" t="str">
        <f>IF(ISBLANK(Table4[[#This Row],[point_codes]]), "", LEN(Table4[[#This Row],[point_codes]])-LEN(SUBSTITUTE(Table4[[#This Row],[point_codes]],";",""))+1)</f>
        <v/>
      </c>
      <c r="R155" t="s">
        <v>122</v>
      </c>
      <c r="T155" t="s">
        <v>736</v>
      </c>
      <c r="U155" s="3">
        <f>Table4[[#This Row],[time_out]]-Table4[[#This Row],[time_in]]</f>
        <v>6.9444444444444198E-4</v>
      </c>
    </row>
    <row r="156" spans="1:21" x14ac:dyDescent="0.3">
      <c r="A156">
        <v>45980</v>
      </c>
      <c r="B156" s="3">
        <v>0.59166666666666667</v>
      </c>
      <c r="C156" s="3">
        <v>0.63402777777777775</v>
      </c>
      <c r="D156" t="s">
        <v>15</v>
      </c>
      <c r="E156" t="s">
        <v>331</v>
      </c>
      <c r="F156" t="str">
        <f>LEFT(Table4[[#This Row],[direction]],1)</f>
        <v>b</v>
      </c>
      <c r="G156" t="s">
        <v>646</v>
      </c>
      <c r="H156" t="s">
        <v>490</v>
      </c>
      <c r="I156" t="s">
        <v>390</v>
      </c>
      <c r="J156" s="14" t="b">
        <v>0</v>
      </c>
      <c r="K156" t="s">
        <v>391</v>
      </c>
      <c r="L156" t="str">
        <f>IFERROR(LEFT(Table4[[#This Row],[route_codes]],FIND(";",Table4[[#This Row],[route_codes]])-1),Table4[[#This Row],[route_codes]])</f>
        <v>B-b</v>
      </c>
      <c r="M156" t="s">
        <v>758</v>
      </c>
      <c r="O156" t="str">
        <f>IFERROR(LEFT(Table4[[#This Row],[point_codes]],FIND(";",Table4[[#This Row],[point_codes]])-1),Table4[[#This Row],[point_codes]])</f>
        <v>B-9</v>
      </c>
      <c r="P156" t="s">
        <v>843</v>
      </c>
      <c r="Q156">
        <f>IF(ISBLANK(Table4[[#This Row],[point_codes]]), "", LEN(Table4[[#This Row],[point_codes]])-LEN(SUBSTITUTE(Table4[[#This Row],[point_codes]],";",""))+1)</f>
        <v>2</v>
      </c>
      <c r="R156" t="s">
        <v>391</v>
      </c>
      <c r="T156" t="s">
        <v>734</v>
      </c>
      <c r="U156" s="3">
        <f>Table4[[#This Row],[time_out]]-Table4[[#This Row],[time_in]]</f>
        <v>4.2361111111111072E-2</v>
      </c>
    </row>
    <row r="157" spans="1:21" x14ac:dyDescent="0.3">
      <c r="A157">
        <v>45966</v>
      </c>
      <c r="B157" s="3">
        <v>0.48819444444444443</v>
      </c>
      <c r="C157" s="3">
        <v>0.48958333333333331</v>
      </c>
      <c r="D157" t="s">
        <v>15</v>
      </c>
      <c r="E157" t="s">
        <v>331</v>
      </c>
      <c r="F157" t="str">
        <f>LEFT(Table4[[#This Row],[direction]],1)</f>
        <v>b</v>
      </c>
      <c r="G157" t="s">
        <v>646</v>
      </c>
      <c r="H157" t="s">
        <v>134</v>
      </c>
      <c r="I157" t="s">
        <v>392</v>
      </c>
      <c r="J157" s="14" t="s">
        <v>645</v>
      </c>
      <c r="K157" t="s">
        <v>393</v>
      </c>
      <c r="L157">
        <f>IFERROR(LEFT(Table4[[#This Row],[route_codes]],FIND(";",Table4[[#This Row],[route_codes]])-1),Table4[[#This Row],[route_codes]])</f>
        <v>0</v>
      </c>
      <c r="O157" t="str">
        <f>IFERROR(LEFT(Table4[[#This Row],[point_codes]],FIND(";",Table4[[#This Row],[point_codes]])-1),Table4[[#This Row],[point_codes]])</f>
        <v>B-9</v>
      </c>
      <c r="P157" t="s">
        <v>844</v>
      </c>
      <c r="Q157">
        <f>IF(ISBLANK(Table4[[#This Row],[point_codes]]), "", LEN(Table4[[#This Row],[point_codes]])-LEN(SUBSTITUTE(Table4[[#This Row],[point_codes]],";",""))+1)</f>
        <v>3</v>
      </c>
      <c r="R157" t="s">
        <v>393</v>
      </c>
      <c r="T157" t="s">
        <v>734</v>
      </c>
      <c r="U157" s="3">
        <f>Table4[[#This Row],[time_out]]-Table4[[#This Row],[time_in]]</f>
        <v>1.388888888888884E-3</v>
      </c>
    </row>
    <row r="158" spans="1:21" x14ac:dyDescent="0.3">
      <c r="A158">
        <v>45984</v>
      </c>
      <c r="B158" s="3">
        <v>0.59583333333333333</v>
      </c>
      <c r="C158" s="3">
        <v>0.59722222222222221</v>
      </c>
      <c r="D158" t="s">
        <v>361</v>
      </c>
      <c r="E158" t="s">
        <v>331</v>
      </c>
      <c r="F158" t="str">
        <f>LEFT(Table4[[#This Row],[direction]],1)</f>
        <v>b</v>
      </c>
      <c r="G158" t="s">
        <v>646</v>
      </c>
      <c r="H158" t="s">
        <v>312</v>
      </c>
      <c r="J158" s="14" t="s">
        <v>312</v>
      </c>
      <c r="K158" t="s">
        <v>394</v>
      </c>
      <c r="L158">
        <f>IFERROR(LEFT(Table4[[#This Row],[route_codes]],FIND(";",Table4[[#This Row],[route_codes]])-1),Table4[[#This Row],[route_codes]])</f>
        <v>0</v>
      </c>
      <c r="O158" t="str">
        <f>IFERROR(LEFT(Table4[[#This Row],[point_codes]],FIND(";",Table4[[#This Row],[point_codes]])-1),Table4[[#This Row],[point_codes]])</f>
        <v>B-4</v>
      </c>
      <c r="P158" t="s">
        <v>845</v>
      </c>
      <c r="Q158">
        <f>IF(ISBLANK(Table4[[#This Row],[point_codes]]), "", LEN(Table4[[#This Row],[point_codes]])-LEN(SUBSTITUTE(Table4[[#This Row],[point_codes]],";",""))+1)</f>
        <v>4</v>
      </c>
      <c r="R158" t="s">
        <v>394</v>
      </c>
      <c r="T158" t="s">
        <v>734</v>
      </c>
      <c r="U158" s="3">
        <f>Table4[[#This Row],[time_out]]-Table4[[#This Row],[time_in]]</f>
        <v>1.388888888888884E-3</v>
      </c>
    </row>
    <row r="159" spans="1:21" x14ac:dyDescent="0.3">
      <c r="A159">
        <v>45981</v>
      </c>
      <c r="B159" s="3">
        <v>0.48749999999999999</v>
      </c>
      <c r="C159" s="3">
        <v>0.48819444444444443</v>
      </c>
      <c r="D159" t="s">
        <v>28</v>
      </c>
      <c r="E159" t="s">
        <v>331</v>
      </c>
      <c r="F159" t="str">
        <f>LEFT(Table4[[#This Row],[direction]],1)</f>
        <v>b</v>
      </c>
      <c r="G159" t="s">
        <v>646</v>
      </c>
      <c r="H159" t="s">
        <v>643</v>
      </c>
      <c r="I159" t="s">
        <v>386</v>
      </c>
      <c r="J159" s="14" t="s">
        <v>645</v>
      </c>
      <c r="K159" t="s">
        <v>395</v>
      </c>
      <c r="L159">
        <f>IFERROR(LEFT(Table4[[#This Row],[route_codes]],FIND(";",Table4[[#This Row],[route_codes]])-1),Table4[[#This Row],[route_codes]])</f>
        <v>0</v>
      </c>
      <c r="O159" t="str">
        <f>IFERROR(LEFT(Table4[[#This Row],[point_codes]],FIND(";",Table4[[#This Row],[point_codes]])-1),Table4[[#This Row],[point_codes]])</f>
        <v>B-5</v>
      </c>
      <c r="P159" t="s">
        <v>766</v>
      </c>
      <c r="Q159">
        <f>IF(ISBLANK(Table4[[#This Row],[point_codes]]), "", LEN(Table4[[#This Row],[point_codes]])-LEN(SUBSTITUTE(Table4[[#This Row],[point_codes]],";",""))+1)</f>
        <v>1</v>
      </c>
      <c r="R159" t="s">
        <v>396</v>
      </c>
      <c r="S159" t="s">
        <v>397</v>
      </c>
      <c r="T159" t="s">
        <v>735</v>
      </c>
      <c r="U159" s="3">
        <f>Table4[[#This Row],[time_out]]-Table4[[#This Row],[time_in]]</f>
        <v>6.9444444444444198E-4</v>
      </c>
    </row>
    <row r="160" spans="1:21" x14ac:dyDescent="0.3">
      <c r="A160">
        <v>45973</v>
      </c>
      <c r="B160" s="3">
        <v>0.45069444444444445</v>
      </c>
      <c r="C160" s="3">
        <v>0.4513888888888889</v>
      </c>
      <c r="D160" t="s">
        <v>15</v>
      </c>
      <c r="E160" t="s">
        <v>331</v>
      </c>
      <c r="F160" t="str">
        <f>LEFT(Table4[[#This Row],[direction]],1)</f>
        <v>a</v>
      </c>
      <c r="G160" t="s">
        <v>642</v>
      </c>
      <c r="H160" t="s">
        <v>490</v>
      </c>
      <c r="I160" t="s">
        <v>398</v>
      </c>
      <c r="J160" s="14" t="s">
        <v>645</v>
      </c>
      <c r="K160" t="s">
        <v>399</v>
      </c>
      <c r="L160">
        <f>IFERROR(LEFT(Table4[[#This Row],[route_codes]],FIND(";",Table4[[#This Row],[route_codes]])-1),Table4[[#This Row],[route_codes]])</f>
        <v>0</v>
      </c>
      <c r="O160" t="str">
        <f>IFERROR(LEFT(Table4[[#This Row],[point_codes]],FIND(";",Table4[[#This Row],[point_codes]])-1),Table4[[#This Row],[point_codes]])</f>
        <v>B-4</v>
      </c>
      <c r="P160" t="s">
        <v>838</v>
      </c>
      <c r="Q160">
        <f>IF(ISBLANK(Table4[[#This Row],[point_codes]]), "", LEN(Table4[[#This Row],[point_codes]])-LEN(SUBSTITUTE(Table4[[#This Row],[point_codes]],";",""))+1)</f>
        <v>1</v>
      </c>
      <c r="R160" t="s">
        <v>400</v>
      </c>
      <c r="T160" t="s">
        <v>734</v>
      </c>
      <c r="U160" s="3">
        <f>Table4[[#This Row],[time_out]]-Table4[[#This Row],[time_in]]</f>
        <v>6.9444444444444198E-4</v>
      </c>
    </row>
    <row r="161" spans="1:21" x14ac:dyDescent="0.3">
      <c r="A161">
        <v>45973</v>
      </c>
      <c r="B161" s="3">
        <v>0.49652777777777779</v>
      </c>
      <c r="C161" s="3">
        <v>0.49930555555555556</v>
      </c>
      <c r="D161" t="s">
        <v>15</v>
      </c>
      <c r="E161" t="s">
        <v>331</v>
      </c>
      <c r="F161" t="str">
        <f>LEFT(Table4[[#This Row],[direction]],1)</f>
        <v>a</v>
      </c>
      <c r="G161" t="s">
        <v>642</v>
      </c>
      <c r="H161" t="s">
        <v>643</v>
      </c>
      <c r="I161" t="s">
        <v>401</v>
      </c>
      <c r="J161" s="14" t="s">
        <v>645</v>
      </c>
      <c r="K161" t="s">
        <v>402</v>
      </c>
      <c r="L161">
        <f>IFERROR(LEFT(Table4[[#This Row],[route_codes]],FIND(";",Table4[[#This Row],[route_codes]])-1),Table4[[#This Row],[route_codes]])</f>
        <v>0</v>
      </c>
      <c r="O161">
        <f>IFERROR(LEFT(Table4[[#This Row],[point_codes]],FIND(";",Table4[[#This Row],[point_codes]])-1),Table4[[#This Row],[point_codes]])</f>
        <v>0</v>
      </c>
      <c r="Q161" t="str">
        <f>IF(ISBLANK(Table4[[#This Row],[point_codes]]), "", LEN(Table4[[#This Row],[point_codes]])-LEN(SUBSTITUTE(Table4[[#This Row],[point_codes]],";",""))+1)</f>
        <v/>
      </c>
      <c r="T161" t="s">
        <v>312</v>
      </c>
      <c r="U161" s="3">
        <f>Table4[[#This Row],[time_out]]-Table4[[#This Row],[time_in]]</f>
        <v>2.7777777777777679E-3</v>
      </c>
    </row>
    <row r="162" spans="1:21" x14ac:dyDescent="0.3">
      <c r="A162">
        <v>45966</v>
      </c>
      <c r="B162" s="3">
        <v>0.52777777777777779</v>
      </c>
      <c r="C162" s="3">
        <v>0.52847222222222223</v>
      </c>
      <c r="D162" t="s">
        <v>15</v>
      </c>
      <c r="E162" t="s">
        <v>331</v>
      </c>
      <c r="F162" t="str">
        <f>LEFT(Table4[[#This Row],[direction]],1)</f>
        <v>a</v>
      </c>
      <c r="G162" t="s">
        <v>642</v>
      </c>
      <c r="H162" t="s">
        <v>134</v>
      </c>
      <c r="I162" t="s">
        <v>138</v>
      </c>
      <c r="J162" s="14" t="s">
        <v>645</v>
      </c>
      <c r="K162" t="s">
        <v>403</v>
      </c>
      <c r="L162">
        <f>IFERROR(LEFT(Table4[[#This Row],[route_codes]],FIND(";",Table4[[#This Row],[route_codes]])-1),Table4[[#This Row],[route_codes]])</f>
        <v>0</v>
      </c>
      <c r="O162">
        <f>IFERROR(LEFT(Table4[[#This Row],[point_codes]],FIND(";",Table4[[#This Row],[point_codes]])-1),Table4[[#This Row],[point_codes]])</f>
        <v>0</v>
      </c>
      <c r="Q162" t="str">
        <f>IF(ISBLANK(Table4[[#This Row],[point_codes]]), "", LEN(Table4[[#This Row],[point_codes]])-LEN(SUBSTITUTE(Table4[[#This Row],[point_codes]],";",""))+1)</f>
        <v/>
      </c>
      <c r="R162" t="s">
        <v>404</v>
      </c>
      <c r="S162" t="s">
        <v>405</v>
      </c>
      <c r="T162" t="s">
        <v>736</v>
      </c>
      <c r="U162" s="3">
        <f>Table4[[#This Row],[time_out]]-Table4[[#This Row],[time_in]]</f>
        <v>6.9444444444444198E-4</v>
      </c>
    </row>
    <row r="163" spans="1:21" x14ac:dyDescent="0.3">
      <c r="A163">
        <v>45984</v>
      </c>
      <c r="B163" s="3">
        <v>0.6069444444444444</v>
      </c>
      <c r="C163" s="3">
        <v>0.6069444444444444</v>
      </c>
      <c r="D163" t="s">
        <v>361</v>
      </c>
      <c r="E163" t="s">
        <v>331</v>
      </c>
      <c r="F163" t="str">
        <f>LEFT(Table4[[#This Row],[direction]],1)</f>
        <v>b</v>
      </c>
      <c r="G163" t="s">
        <v>646</v>
      </c>
      <c r="H163" t="s">
        <v>134</v>
      </c>
      <c r="J163" s="14" t="s">
        <v>312</v>
      </c>
      <c r="K163" t="s">
        <v>406</v>
      </c>
      <c r="L163">
        <f>IFERROR(LEFT(Table4[[#This Row],[route_codes]],FIND(";",Table4[[#This Row],[route_codes]])-1),Table4[[#This Row],[route_codes]])</f>
        <v>0</v>
      </c>
      <c r="O163">
        <f>IFERROR(LEFT(Table4[[#This Row],[point_codes]],FIND(";",Table4[[#This Row],[point_codes]])-1),Table4[[#This Row],[point_codes]])</f>
        <v>0</v>
      </c>
      <c r="Q163" t="str">
        <f>IF(ISBLANK(Table4[[#This Row],[point_codes]]), "", LEN(Table4[[#This Row],[point_codes]])-LEN(SUBSTITUTE(Table4[[#This Row],[point_codes]],";",""))+1)</f>
        <v/>
      </c>
      <c r="R163" t="s">
        <v>122</v>
      </c>
      <c r="T163" t="s">
        <v>736</v>
      </c>
      <c r="U163" s="3">
        <f>Table4[[#This Row],[time_out]]-Table4[[#This Row],[time_in]]</f>
        <v>0</v>
      </c>
    </row>
    <row r="164" spans="1:21" x14ac:dyDescent="0.3">
      <c r="A164">
        <v>45984</v>
      </c>
      <c r="B164" s="3">
        <v>0.60486111111111107</v>
      </c>
      <c r="C164" s="3">
        <v>0.60555555555555551</v>
      </c>
      <c r="D164" t="s">
        <v>361</v>
      </c>
      <c r="E164" t="s">
        <v>331</v>
      </c>
      <c r="F164" t="str">
        <f>LEFT(Table4[[#This Row],[direction]],1)</f>
        <v>b</v>
      </c>
      <c r="G164" t="s">
        <v>646</v>
      </c>
      <c r="H164" t="s">
        <v>312</v>
      </c>
      <c r="J164" s="14" t="s">
        <v>312</v>
      </c>
      <c r="K164" t="s">
        <v>407</v>
      </c>
      <c r="L164">
        <f>IFERROR(LEFT(Table4[[#This Row],[route_codes]],FIND(";",Table4[[#This Row],[route_codes]])-1),Table4[[#This Row],[route_codes]])</f>
        <v>0</v>
      </c>
      <c r="O164" t="str">
        <f>IFERROR(LEFT(Table4[[#This Row],[point_codes]],FIND(";",Table4[[#This Row],[point_codes]])-1),Table4[[#This Row],[point_codes]])</f>
        <v>B-4</v>
      </c>
      <c r="P164" t="s">
        <v>831</v>
      </c>
      <c r="Q164">
        <f>IF(ISBLANK(Table4[[#This Row],[point_codes]]), "", LEN(Table4[[#This Row],[point_codes]])-LEN(SUBSTITUTE(Table4[[#This Row],[point_codes]],";",""))+1)</f>
        <v>2</v>
      </c>
      <c r="R164" t="s">
        <v>408</v>
      </c>
      <c r="T164" t="s">
        <v>734</v>
      </c>
      <c r="U164" s="3">
        <f>Table4[[#This Row],[time_out]]-Table4[[#This Row],[time_in]]</f>
        <v>6.9444444444444198E-4</v>
      </c>
    </row>
    <row r="165" spans="1:21" x14ac:dyDescent="0.3">
      <c r="A165">
        <v>45997</v>
      </c>
      <c r="B165" s="3">
        <v>0.51944444444444449</v>
      </c>
      <c r="C165" s="3">
        <v>0.52152777777777781</v>
      </c>
      <c r="D165" t="s">
        <v>409</v>
      </c>
      <c r="E165" t="s">
        <v>331</v>
      </c>
      <c r="F165" t="str">
        <f>LEFT(Table4[[#This Row],[direction]],1)</f>
        <v>a</v>
      </c>
      <c r="G165" t="s">
        <v>642</v>
      </c>
      <c r="H165" t="s">
        <v>490</v>
      </c>
      <c r="J165" s="14" t="s">
        <v>645</v>
      </c>
      <c r="K165" t="s">
        <v>410</v>
      </c>
      <c r="L165">
        <f>IFERROR(LEFT(Table4[[#This Row],[route_codes]],FIND(";",Table4[[#This Row],[route_codes]])-1),Table4[[#This Row],[route_codes]])</f>
        <v>0</v>
      </c>
      <c r="O165" t="str">
        <f>IFERROR(LEFT(Table4[[#This Row],[point_codes]],FIND(";",Table4[[#This Row],[point_codes]])-1),Table4[[#This Row],[point_codes]])</f>
        <v>B-4</v>
      </c>
      <c r="P165" t="s">
        <v>846</v>
      </c>
      <c r="Q165">
        <f>IF(ISBLANK(Table4[[#This Row],[point_codes]]), "", LEN(Table4[[#This Row],[point_codes]])-LEN(SUBSTITUTE(Table4[[#This Row],[point_codes]],";",""))+1)</f>
        <v>2</v>
      </c>
      <c r="R165" t="s">
        <v>411</v>
      </c>
      <c r="S165" t="s">
        <v>412</v>
      </c>
      <c r="T165" t="s">
        <v>734</v>
      </c>
      <c r="U165" s="3">
        <f>Table4[[#This Row],[time_out]]-Table4[[#This Row],[time_in]]</f>
        <v>2.0833333333333259E-3</v>
      </c>
    </row>
    <row r="166" spans="1:21" x14ac:dyDescent="0.3">
      <c r="A166">
        <v>45973</v>
      </c>
      <c r="B166" s="3">
        <v>0.49652777777777779</v>
      </c>
      <c r="C166" s="3">
        <v>0.49930555555555556</v>
      </c>
      <c r="E166" t="s">
        <v>331</v>
      </c>
      <c r="F166" t="str">
        <f>LEFT(Table4[[#This Row],[direction]],1)</f>
        <v>a</v>
      </c>
      <c r="G166" t="s">
        <v>642</v>
      </c>
      <c r="H166" t="s">
        <v>643</v>
      </c>
      <c r="I166" t="s">
        <v>40</v>
      </c>
      <c r="J166" s="14" t="s">
        <v>645</v>
      </c>
      <c r="K166" t="s">
        <v>413</v>
      </c>
      <c r="L166" t="str">
        <f>IFERROR(LEFT(Table4[[#This Row],[route_codes]],FIND(";",Table4[[#This Row],[route_codes]])-1),Table4[[#This Row],[route_codes]])</f>
        <v>B-d</v>
      </c>
      <c r="M166" t="s">
        <v>765</v>
      </c>
      <c r="O166" t="str">
        <f>IFERROR(LEFT(Table4[[#This Row],[point_codes]],FIND(";",Table4[[#This Row],[point_codes]])-1),Table4[[#This Row],[point_codes]])</f>
        <v>B-5</v>
      </c>
      <c r="P166" t="s">
        <v>847</v>
      </c>
      <c r="Q166">
        <f>IF(ISBLANK(Table4[[#This Row],[point_codes]]), "", LEN(Table4[[#This Row],[point_codes]])-LEN(SUBSTITUTE(Table4[[#This Row],[point_codes]],";",""))+1)</f>
        <v>4</v>
      </c>
      <c r="R166" t="s">
        <v>413</v>
      </c>
      <c r="T166" t="s">
        <v>734</v>
      </c>
      <c r="U166" s="3">
        <f>Table4[[#This Row],[time_out]]-Table4[[#This Row],[time_in]]</f>
        <v>2.7777777777777679E-3</v>
      </c>
    </row>
    <row r="167" spans="1:21" x14ac:dyDescent="0.3">
      <c r="A167">
        <v>45993</v>
      </c>
      <c r="B167" s="3">
        <v>0.50069444444444444</v>
      </c>
      <c r="C167" s="3">
        <v>0.50208333333333333</v>
      </c>
      <c r="E167" t="s">
        <v>331</v>
      </c>
      <c r="F167" t="str">
        <f>LEFT(Table4[[#This Row],[direction]],1)</f>
        <v>a</v>
      </c>
      <c r="G167" t="s">
        <v>642</v>
      </c>
      <c r="H167" t="s">
        <v>134</v>
      </c>
      <c r="I167" t="s">
        <v>414</v>
      </c>
      <c r="J167" s="14" t="s">
        <v>645</v>
      </c>
      <c r="K167" t="s">
        <v>415</v>
      </c>
      <c r="L167" t="str">
        <f>IFERROR(LEFT(Table4[[#This Row],[route_codes]],FIND(";",Table4[[#This Row],[route_codes]])-1),Table4[[#This Row],[route_codes]])</f>
        <v>B-d</v>
      </c>
      <c r="M167" t="s">
        <v>765</v>
      </c>
      <c r="O167" t="str">
        <f>IFERROR(LEFT(Table4[[#This Row],[point_codes]],FIND(";",Table4[[#This Row],[point_codes]])-1),Table4[[#This Row],[point_codes]])</f>
        <v>B-7</v>
      </c>
      <c r="P167" t="s">
        <v>848</v>
      </c>
      <c r="Q167">
        <f>IF(ISBLANK(Table4[[#This Row],[point_codes]]), "", LEN(Table4[[#This Row],[point_codes]])-LEN(SUBSTITUTE(Table4[[#This Row],[point_codes]],";",""))+1)</f>
        <v>4</v>
      </c>
      <c r="R167" t="s">
        <v>415</v>
      </c>
      <c r="T167" t="s">
        <v>734</v>
      </c>
      <c r="U167" s="3">
        <f>Table4[[#This Row],[time_out]]-Table4[[#This Row],[time_in]]</f>
        <v>1.388888888888884E-3</v>
      </c>
    </row>
    <row r="168" spans="1:21" x14ac:dyDescent="0.3">
      <c r="A168">
        <v>45993</v>
      </c>
      <c r="B168" s="3">
        <v>0.50416666666666665</v>
      </c>
      <c r="C168" s="3">
        <v>0.50486111111111109</v>
      </c>
      <c r="E168" t="s">
        <v>331</v>
      </c>
      <c r="F168" t="str">
        <f>LEFT(Table4[[#This Row],[direction]],1)</f>
        <v>a</v>
      </c>
      <c r="G168" t="s">
        <v>642</v>
      </c>
      <c r="H168" t="s">
        <v>643</v>
      </c>
      <c r="I168" t="s">
        <v>47</v>
      </c>
      <c r="J168" s="14" t="s">
        <v>645</v>
      </c>
      <c r="K168" t="s">
        <v>416</v>
      </c>
      <c r="L168" t="str">
        <f>IFERROR(LEFT(Table4[[#This Row],[route_codes]],FIND(";",Table4[[#This Row],[route_codes]])-1),Table4[[#This Row],[route_codes]])</f>
        <v>B-d</v>
      </c>
      <c r="M168" t="s">
        <v>765</v>
      </c>
      <c r="O168" t="str">
        <f>IFERROR(LEFT(Table4[[#This Row],[point_codes]],FIND(";",Table4[[#This Row],[point_codes]])-1),Table4[[#This Row],[point_codes]])</f>
        <v>B-11</v>
      </c>
      <c r="P168" t="s">
        <v>849</v>
      </c>
      <c r="Q168">
        <f>IF(ISBLANK(Table4[[#This Row],[point_codes]]), "", LEN(Table4[[#This Row],[point_codes]])-LEN(SUBSTITUTE(Table4[[#This Row],[point_codes]],";",""))+1)</f>
        <v>4</v>
      </c>
      <c r="R168" t="s">
        <v>416</v>
      </c>
      <c r="T168" t="s">
        <v>734</v>
      </c>
      <c r="U168" s="3">
        <f>Table4[[#This Row],[time_out]]-Table4[[#This Row],[time_in]]</f>
        <v>6.9444444444444198E-4</v>
      </c>
    </row>
    <row r="169" spans="1:21" x14ac:dyDescent="0.3">
      <c r="A169">
        <v>45993</v>
      </c>
      <c r="B169" s="3">
        <v>0.50624999999999998</v>
      </c>
      <c r="C169" s="3">
        <v>0.50694444444444442</v>
      </c>
      <c r="E169" t="s">
        <v>331</v>
      </c>
      <c r="F169" t="str">
        <f>LEFT(Table4[[#This Row],[direction]],1)</f>
        <v>b</v>
      </c>
      <c r="G169" t="s">
        <v>646</v>
      </c>
      <c r="H169" t="s">
        <v>134</v>
      </c>
      <c r="I169" t="s">
        <v>417</v>
      </c>
      <c r="J169" s="14" t="s">
        <v>645</v>
      </c>
      <c r="K169" t="s">
        <v>418</v>
      </c>
      <c r="L169" t="str">
        <f>IFERROR(LEFT(Table4[[#This Row],[route_codes]],FIND(";",Table4[[#This Row],[route_codes]])-1),Table4[[#This Row],[route_codes]])</f>
        <v>B-a</v>
      </c>
      <c r="M169" t="s">
        <v>755</v>
      </c>
      <c r="O169" t="str">
        <f>IFERROR(LEFT(Table4[[#This Row],[point_codes]],FIND(";",Table4[[#This Row],[point_codes]])-1),Table4[[#This Row],[point_codes]])</f>
        <v>B-3</v>
      </c>
      <c r="P169" t="s">
        <v>850</v>
      </c>
      <c r="Q169">
        <f>IF(ISBLANK(Table4[[#This Row],[point_codes]]), "", LEN(Table4[[#This Row],[point_codes]])-LEN(SUBSTITUTE(Table4[[#This Row],[point_codes]],";",""))+1)</f>
        <v>3</v>
      </c>
      <c r="R169" t="s">
        <v>418</v>
      </c>
      <c r="T169" t="s">
        <v>734</v>
      </c>
      <c r="U169" s="3">
        <f>Table4[[#This Row],[time_out]]-Table4[[#This Row],[time_in]]</f>
        <v>6.9444444444444198E-4</v>
      </c>
    </row>
    <row r="170" spans="1:21" x14ac:dyDescent="0.3">
      <c r="A170">
        <v>45993</v>
      </c>
      <c r="B170" s="3">
        <v>0.50972222222222219</v>
      </c>
      <c r="C170" s="3">
        <v>0.50972222222222219</v>
      </c>
      <c r="E170" t="s">
        <v>331</v>
      </c>
      <c r="F170" t="str">
        <f>LEFT(Table4[[#This Row],[direction]],1)</f>
        <v>b</v>
      </c>
      <c r="G170" t="s">
        <v>646</v>
      </c>
      <c r="H170" t="s">
        <v>134</v>
      </c>
      <c r="I170" t="s">
        <v>419</v>
      </c>
      <c r="J170" s="14" t="s">
        <v>645</v>
      </c>
      <c r="K170" t="s">
        <v>420</v>
      </c>
      <c r="L170">
        <f>IFERROR(LEFT(Table4[[#This Row],[route_codes]],FIND(";",Table4[[#This Row],[route_codes]])-1),Table4[[#This Row],[route_codes]])</f>
        <v>0</v>
      </c>
      <c r="O170">
        <f>IFERROR(LEFT(Table4[[#This Row],[point_codes]],FIND(";",Table4[[#This Row],[point_codes]])-1),Table4[[#This Row],[point_codes]])</f>
        <v>0</v>
      </c>
      <c r="Q170" t="str">
        <f>IF(ISBLANK(Table4[[#This Row],[point_codes]]), "", LEN(Table4[[#This Row],[point_codes]])-LEN(SUBSTITUTE(Table4[[#This Row],[point_codes]],";",""))+1)</f>
        <v/>
      </c>
      <c r="R170" t="s">
        <v>122</v>
      </c>
      <c r="S170" t="s">
        <v>421</v>
      </c>
      <c r="T170" t="s">
        <v>736</v>
      </c>
      <c r="U170" s="3">
        <f>Table4[[#This Row],[time_out]]-Table4[[#This Row],[time_in]]</f>
        <v>0</v>
      </c>
    </row>
    <row r="171" spans="1:21" x14ac:dyDescent="0.3">
      <c r="A171">
        <v>45993</v>
      </c>
      <c r="B171" s="3">
        <v>0.51111111111111107</v>
      </c>
      <c r="C171" s="3">
        <v>0.51111111111111107</v>
      </c>
      <c r="E171" t="s">
        <v>331</v>
      </c>
      <c r="F171" t="str">
        <f>LEFT(Table4[[#This Row],[direction]],1)</f>
        <v>b</v>
      </c>
      <c r="G171" t="s">
        <v>646</v>
      </c>
      <c r="H171" t="s">
        <v>134</v>
      </c>
      <c r="I171" t="s">
        <v>422</v>
      </c>
      <c r="J171" s="14" t="s">
        <v>645</v>
      </c>
      <c r="K171" t="s">
        <v>423</v>
      </c>
      <c r="L171">
        <f>IFERROR(LEFT(Table4[[#This Row],[route_codes]],FIND(";",Table4[[#This Row],[route_codes]])-1),Table4[[#This Row],[route_codes]])</f>
        <v>0</v>
      </c>
      <c r="O171" t="str">
        <f>IFERROR(LEFT(Table4[[#This Row],[point_codes]],FIND(";",Table4[[#This Row],[point_codes]])-1),Table4[[#This Row],[point_codes]])</f>
        <v>B-14</v>
      </c>
      <c r="P171" t="s">
        <v>834</v>
      </c>
      <c r="Q171">
        <f>IF(ISBLANK(Table4[[#This Row],[point_codes]]), "", LEN(Table4[[#This Row],[point_codes]])-LEN(SUBSTITUTE(Table4[[#This Row],[point_codes]],";",""))+1)</f>
        <v>1</v>
      </c>
      <c r="R171" t="s">
        <v>423</v>
      </c>
      <c r="T171" t="s">
        <v>735</v>
      </c>
      <c r="U171" s="3">
        <f>Table4[[#This Row],[time_out]]-Table4[[#This Row],[time_in]]</f>
        <v>0</v>
      </c>
    </row>
    <row r="172" spans="1:21" x14ac:dyDescent="0.3">
      <c r="B172" s="3">
        <v>0.51527777777777772</v>
      </c>
      <c r="C172" s="3">
        <v>0.51527777777777772</v>
      </c>
      <c r="E172" t="s">
        <v>331</v>
      </c>
      <c r="F172" t="str">
        <f>LEFT(Table4[[#This Row],[direction]],1)</f>
        <v>b</v>
      </c>
      <c r="G172" t="s">
        <v>646</v>
      </c>
      <c r="H172" t="s">
        <v>134</v>
      </c>
      <c r="I172" t="s">
        <v>424</v>
      </c>
      <c r="J172" s="14" t="s">
        <v>644</v>
      </c>
      <c r="K172" t="s">
        <v>425</v>
      </c>
      <c r="L172">
        <f>IFERROR(LEFT(Table4[[#This Row],[route_codes]],FIND(";",Table4[[#This Row],[route_codes]])-1),Table4[[#This Row],[route_codes]])</f>
        <v>0</v>
      </c>
      <c r="O172">
        <f>IFERROR(LEFT(Table4[[#This Row],[point_codes]],FIND(";",Table4[[#This Row],[point_codes]])-1),Table4[[#This Row],[point_codes]])</f>
        <v>0</v>
      </c>
      <c r="Q172" t="str">
        <f>IF(ISBLANK(Table4[[#This Row],[point_codes]]), "", LEN(Table4[[#This Row],[point_codes]])-LEN(SUBSTITUTE(Table4[[#This Row],[point_codes]],";",""))+1)</f>
        <v/>
      </c>
      <c r="R172" t="s">
        <v>426</v>
      </c>
      <c r="S172" t="s">
        <v>427</v>
      </c>
      <c r="T172" t="s">
        <v>736</v>
      </c>
      <c r="U172" s="3">
        <f>Table4[[#This Row],[time_out]]-Table4[[#This Row],[time_in]]</f>
        <v>0</v>
      </c>
    </row>
    <row r="173" spans="1:21" x14ac:dyDescent="0.3">
      <c r="B173" s="3">
        <v>0.51249999999999996</v>
      </c>
      <c r="C173" s="3">
        <v>0.51597222222222228</v>
      </c>
      <c r="E173" t="s">
        <v>331</v>
      </c>
      <c r="F173" t="str">
        <f>LEFT(Table4[[#This Row],[direction]],1)</f>
        <v>a</v>
      </c>
      <c r="G173" t="s">
        <v>642</v>
      </c>
      <c r="H173" t="s">
        <v>643</v>
      </c>
      <c r="I173" t="s">
        <v>428</v>
      </c>
      <c r="J173" s="14" t="s">
        <v>645</v>
      </c>
      <c r="K173" t="s">
        <v>429</v>
      </c>
      <c r="L173" t="str">
        <f>IFERROR(LEFT(Table4[[#This Row],[route_codes]],FIND(";",Table4[[#This Row],[route_codes]])-1),Table4[[#This Row],[route_codes]])</f>
        <v>B-d</v>
      </c>
      <c r="M173" t="s">
        <v>765</v>
      </c>
      <c r="O173" t="str">
        <f>IFERROR(LEFT(Table4[[#This Row],[point_codes]],FIND(";",Table4[[#This Row],[point_codes]])-1),Table4[[#This Row],[point_codes]])</f>
        <v>B-13</v>
      </c>
      <c r="P173" t="s">
        <v>839</v>
      </c>
      <c r="Q173">
        <f>IF(ISBLANK(Table4[[#This Row],[point_codes]]), "", LEN(Table4[[#This Row],[point_codes]])-LEN(SUBSTITUTE(Table4[[#This Row],[point_codes]],";",""))+1)</f>
        <v>3</v>
      </c>
      <c r="R173" t="s">
        <v>429</v>
      </c>
      <c r="T173" t="s">
        <v>734</v>
      </c>
      <c r="U173" s="3">
        <f>Table4[[#This Row],[time_out]]-Table4[[#This Row],[time_in]]</f>
        <v>3.4722222222223209E-3</v>
      </c>
    </row>
    <row r="174" spans="1:21" x14ac:dyDescent="0.3">
      <c r="B174" s="3">
        <v>0.5180555555555556</v>
      </c>
      <c r="C174" s="3">
        <v>0.51875000000000004</v>
      </c>
      <c r="E174" t="s">
        <v>331</v>
      </c>
      <c r="F174" t="str">
        <f>LEFT(Table4[[#This Row],[direction]],1)</f>
        <v>a</v>
      </c>
      <c r="G174" t="s">
        <v>642</v>
      </c>
      <c r="H174" t="s">
        <v>643</v>
      </c>
      <c r="I174" t="s">
        <v>430</v>
      </c>
      <c r="J174" s="14" t="s">
        <v>645</v>
      </c>
      <c r="K174" t="s">
        <v>431</v>
      </c>
      <c r="L174">
        <f>IFERROR(LEFT(Table4[[#This Row],[route_codes]],FIND(";",Table4[[#This Row],[route_codes]])-1),Table4[[#This Row],[route_codes]])</f>
        <v>0</v>
      </c>
      <c r="O174" t="str">
        <f>IFERROR(LEFT(Table4[[#This Row],[point_codes]],FIND(";",Table4[[#This Row],[point_codes]])-1),Table4[[#This Row],[point_codes]])</f>
        <v>B-11</v>
      </c>
      <c r="P174" t="s">
        <v>851</v>
      </c>
      <c r="Q174">
        <f>IF(ISBLANK(Table4[[#This Row],[point_codes]]), "", LEN(Table4[[#This Row],[point_codes]])-LEN(SUBSTITUTE(Table4[[#This Row],[point_codes]],";",""))+1)</f>
        <v>3</v>
      </c>
      <c r="R174" t="s">
        <v>431</v>
      </c>
      <c r="T174" t="s">
        <v>734</v>
      </c>
      <c r="U174" s="3">
        <f>Table4[[#This Row],[time_out]]-Table4[[#This Row],[time_in]]</f>
        <v>6.9444444444444198E-4</v>
      </c>
    </row>
    <row r="175" spans="1:21" x14ac:dyDescent="0.3">
      <c r="B175" s="3">
        <v>0.52083333333333337</v>
      </c>
      <c r="C175" s="3">
        <v>0.52152777777777781</v>
      </c>
      <c r="E175" t="s">
        <v>331</v>
      </c>
      <c r="F175" t="str">
        <f>LEFT(Table4[[#This Row],[direction]],1)</f>
        <v>a</v>
      </c>
      <c r="G175" t="s">
        <v>642</v>
      </c>
      <c r="H175" t="s">
        <v>643</v>
      </c>
      <c r="I175" t="s">
        <v>300</v>
      </c>
      <c r="J175" s="14" t="s">
        <v>645</v>
      </c>
      <c r="K175" t="s">
        <v>432</v>
      </c>
      <c r="L175">
        <f>IFERROR(LEFT(Table4[[#This Row],[route_codes]],FIND(";",Table4[[#This Row],[route_codes]])-1),Table4[[#This Row],[route_codes]])</f>
        <v>0</v>
      </c>
      <c r="O175" t="str">
        <f>IFERROR(LEFT(Table4[[#This Row],[point_codes]],FIND(";",Table4[[#This Row],[point_codes]])-1),Table4[[#This Row],[point_codes]])</f>
        <v>B-11</v>
      </c>
      <c r="P175" t="s">
        <v>851</v>
      </c>
      <c r="Q175">
        <f>IF(ISBLANK(Table4[[#This Row],[point_codes]]), "", LEN(Table4[[#This Row],[point_codes]])-LEN(SUBSTITUTE(Table4[[#This Row],[point_codes]],";",""))+1)</f>
        <v>3</v>
      </c>
      <c r="R175" t="s">
        <v>432</v>
      </c>
      <c r="T175" t="s">
        <v>734</v>
      </c>
      <c r="U175" s="3">
        <f>Table4[[#This Row],[time_out]]-Table4[[#This Row],[time_in]]</f>
        <v>6.9444444444444198E-4</v>
      </c>
    </row>
    <row r="176" spans="1:21" x14ac:dyDescent="0.3">
      <c r="B176" s="3">
        <v>0.52430555555555558</v>
      </c>
      <c r="C176" s="3">
        <v>0.52430555555555558</v>
      </c>
      <c r="E176" t="s">
        <v>331</v>
      </c>
      <c r="F176" t="str">
        <f>LEFT(Table4[[#This Row],[direction]],1)</f>
        <v>a</v>
      </c>
      <c r="G176" t="s">
        <v>642</v>
      </c>
      <c r="H176" t="s">
        <v>134</v>
      </c>
      <c r="I176" t="s">
        <v>433</v>
      </c>
      <c r="J176" s="14" t="s">
        <v>645</v>
      </c>
      <c r="K176" t="s">
        <v>434</v>
      </c>
      <c r="L176">
        <f>IFERROR(LEFT(Table4[[#This Row],[route_codes]],FIND(";",Table4[[#This Row],[route_codes]])-1),Table4[[#This Row],[route_codes]])</f>
        <v>0</v>
      </c>
      <c r="O176" t="str">
        <f>IFERROR(LEFT(Table4[[#This Row],[point_codes]],FIND(";",Table4[[#This Row],[point_codes]])-1),Table4[[#This Row],[point_codes]])</f>
        <v>B-9</v>
      </c>
      <c r="P176" t="s">
        <v>761</v>
      </c>
      <c r="Q176">
        <f>IF(ISBLANK(Table4[[#This Row],[point_codes]]), "", LEN(Table4[[#This Row],[point_codes]])-LEN(SUBSTITUTE(Table4[[#This Row],[point_codes]],";",""))+1)</f>
        <v>1</v>
      </c>
      <c r="R176" t="s">
        <v>434</v>
      </c>
      <c r="T176" t="s">
        <v>735</v>
      </c>
      <c r="U176" s="3">
        <f>Table4[[#This Row],[time_out]]-Table4[[#This Row],[time_in]]</f>
        <v>0</v>
      </c>
    </row>
    <row r="177" spans="1:21" x14ac:dyDescent="0.3">
      <c r="B177" s="3">
        <v>0.53333333333333333</v>
      </c>
      <c r="C177" s="3">
        <v>0.53333333333333333</v>
      </c>
      <c r="E177" t="s">
        <v>331</v>
      </c>
      <c r="F177" t="str">
        <f>LEFT(Table4[[#This Row],[direction]],1)</f>
        <v>b</v>
      </c>
      <c r="G177" t="s">
        <v>646</v>
      </c>
      <c r="H177" t="s">
        <v>134</v>
      </c>
      <c r="I177" t="s">
        <v>419</v>
      </c>
      <c r="J177" s="14" t="s">
        <v>645</v>
      </c>
      <c r="K177" t="s">
        <v>435</v>
      </c>
      <c r="L177">
        <f>IFERROR(LEFT(Table4[[#This Row],[route_codes]],FIND(";",Table4[[#This Row],[route_codes]])-1),Table4[[#This Row],[route_codes]])</f>
        <v>0</v>
      </c>
      <c r="O177">
        <f>IFERROR(LEFT(Table4[[#This Row],[point_codes]],FIND(";",Table4[[#This Row],[point_codes]])-1),Table4[[#This Row],[point_codes]])</f>
        <v>0</v>
      </c>
      <c r="Q177" t="str">
        <f>IF(ISBLANK(Table4[[#This Row],[point_codes]]), "", LEN(Table4[[#This Row],[point_codes]])-LEN(SUBSTITUTE(Table4[[#This Row],[point_codes]],";",""))+1)</f>
        <v/>
      </c>
      <c r="R177" t="s">
        <v>122</v>
      </c>
      <c r="T177" t="s">
        <v>736</v>
      </c>
      <c r="U177" s="3">
        <f>Table4[[#This Row],[time_out]]-Table4[[#This Row],[time_in]]</f>
        <v>0</v>
      </c>
    </row>
    <row r="178" spans="1:21" x14ac:dyDescent="0.3">
      <c r="A178">
        <v>45998</v>
      </c>
      <c r="B178" s="3">
        <v>0.48402777777777778</v>
      </c>
      <c r="C178" s="3">
        <v>0.48402777777777778</v>
      </c>
      <c r="D178" t="s">
        <v>28</v>
      </c>
      <c r="E178" t="s">
        <v>331</v>
      </c>
      <c r="F178" t="str">
        <f>LEFT(Table4[[#This Row],[direction]],1)</f>
        <v>a</v>
      </c>
      <c r="G178" t="s">
        <v>642</v>
      </c>
      <c r="H178" t="s">
        <v>134</v>
      </c>
      <c r="I178" t="s">
        <v>436</v>
      </c>
      <c r="J178" s="14" t="s">
        <v>645</v>
      </c>
      <c r="K178" t="s">
        <v>437</v>
      </c>
      <c r="L178">
        <f>IFERROR(LEFT(Table4[[#This Row],[route_codes]],FIND(";",Table4[[#This Row],[route_codes]])-1),Table4[[#This Row],[route_codes]])</f>
        <v>0</v>
      </c>
      <c r="O178" t="str">
        <f>IFERROR(LEFT(Table4[[#This Row],[point_codes]],FIND(";",Table4[[#This Row],[point_codes]])-1),Table4[[#This Row],[point_codes]])</f>
        <v>B-5</v>
      </c>
      <c r="P178" t="s">
        <v>766</v>
      </c>
      <c r="Q178">
        <f>IF(ISBLANK(Table4[[#This Row],[point_codes]]), "", LEN(Table4[[#This Row],[point_codes]])-LEN(SUBSTITUTE(Table4[[#This Row],[point_codes]],";",""))+1)</f>
        <v>1</v>
      </c>
      <c r="R178" t="s">
        <v>438</v>
      </c>
      <c r="T178" t="s">
        <v>735</v>
      </c>
      <c r="U178" s="3">
        <f>Table4[[#This Row],[time_out]]-Table4[[#This Row],[time_in]]</f>
        <v>0</v>
      </c>
    </row>
    <row r="179" spans="1:21" x14ac:dyDescent="0.3">
      <c r="A179">
        <v>45994</v>
      </c>
      <c r="B179" s="3">
        <v>0.47152777777777777</v>
      </c>
      <c r="C179" s="3">
        <v>0.47222222222222221</v>
      </c>
      <c r="D179" t="s">
        <v>15</v>
      </c>
      <c r="E179" t="s">
        <v>331</v>
      </c>
      <c r="F179" t="str">
        <f>LEFT(Table4[[#This Row],[direction]],1)</f>
        <v>b</v>
      </c>
      <c r="G179" t="s">
        <v>646</v>
      </c>
      <c r="H179" t="s">
        <v>134</v>
      </c>
      <c r="I179" t="s">
        <v>439</v>
      </c>
      <c r="J179" s="14" t="s">
        <v>645</v>
      </c>
      <c r="K179" t="s">
        <v>440</v>
      </c>
      <c r="L179">
        <f>IFERROR(LEFT(Table4[[#This Row],[route_codes]],FIND(";",Table4[[#This Row],[route_codes]])-1),Table4[[#This Row],[route_codes]])</f>
        <v>0</v>
      </c>
      <c r="O179">
        <f>IFERROR(LEFT(Table4[[#This Row],[point_codes]],FIND(";",Table4[[#This Row],[point_codes]])-1),Table4[[#This Row],[point_codes]])</f>
        <v>0</v>
      </c>
      <c r="Q179" t="str">
        <f>IF(ISBLANK(Table4[[#This Row],[point_codes]]), "", LEN(Table4[[#This Row],[point_codes]])-LEN(SUBSTITUTE(Table4[[#This Row],[point_codes]],";",""))+1)</f>
        <v/>
      </c>
      <c r="R179" t="s">
        <v>122</v>
      </c>
      <c r="T179" t="s">
        <v>736</v>
      </c>
      <c r="U179" s="3">
        <f>Table4[[#This Row],[time_out]]-Table4[[#This Row],[time_in]]</f>
        <v>6.9444444444444198E-4</v>
      </c>
    </row>
    <row r="180" spans="1:21" x14ac:dyDescent="0.3">
      <c r="A180">
        <v>45988</v>
      </c>
      <c r="B180" s="3">
        <v>0.50902777777777775</v>
      </c>
      <c r="C180" s="3">
        <v>0.50972222222222219</v>
      </c>
      <c r="D180" t="s">
        <v>15</v>
      </c>
      <c r="E180" t="s">
        <v>331</v>
      </c>
      <c r="F180" t="str">
        <f>LEFT(Table4[[#This Row],[direction]],1)</f>
        <v>b</v>
      </c>
      <c r="G180" t="s">
        <v>646</v>
      </c>
      <c r="H180" t="s">
        <v>643</v>
      </c>
      <c r="I180" t="s">
        <v>300</v>
      </c>
      <c r="J180" s="14" t="s">
        <v>645</v>
      </c>
      <c r="K180" t="s">
        <v>441</v>
      </c>
      <c r="L180">
        <f>IFERROR(LEFT(Table4[[#This Row],[route_codes]],FIND(";",Table4[[#This Row],[route_codes]])-1),Table4[[#This Row],[route_codes]])</f>
        <v>0</v>
      </c>
      <c r="O180">
        <f>IFERROR(LEFT(Table4[[#This Row],[point_codes]],FIND(";",Table4[[#This Row],[point_codes]])-1),Table4[[#This Row],[point_codes]])</f>
        <v>0</v>
      </c>
      <c r="Q180" t="str">
        <f>IF(ISBLANK(Table4[[#This Row],[point_codes]]), "", LEN(Table4[[#This Row],[point_codes]])-LEN(SUBSTITUTE(Table4[[#This Row],[point_codes]],";",""))+1)</f>
        <v/>
      </c>
      <c r="R180" t="s">
        <v>122</v>
      </c>
      <c r="S180" t="s">
        <v>442</v>
      </c>
      <c r="T180" t="s">
        <v>736</v>
      </c>
      <c r="U180" s="3">
        <f>Table4[[#This Row],[time_out]]-Table4[[#This Row],[time_in]]</f>
        <v>6.9444444444444198E-4</v>
      </c>
    </row>
    <row r="181" spans="1:21" x14ac:dyDescent="0.3">
      <c r="B181" s="3">
        <v>0.52013888888888893</v>
      </c>
      <c r="C181" s="3">
        <v>0.52083333333333337</v>
      </c>
      <c r="E181" t="s">
        <v>331</v>
      </c>
      <c r="F181" t="str">
        <f>LEFT(Table4[[#This Row],[direction]],1)</f>
        <v>a</v>
      </c>
      <c r="G181" t="s">
        <v>642</v>
      </c>
      <c r="H181" t="s">
        <v>134</v>
      </c>
      <c r="I181" t="s">
        <v>386</v>
      </c>
      <c r="J181" s="14" t="s">
        <v>645</v>
      </c>
      <c r="K181" t="s">
        <v>443</v>
      </c>
      <c r="L181">
        <f>IFERROR(LEFT(Table4[[#This Row],[route_codes]],FIND(";",Table4[[#This Row],[route_codes]])-1),Table4[[#This Row],[route_codes]])</f>
        <v>0</v>
      </c>
      <c r="O181" t="str">
        <f>IFERROR(LEFT(Table4[[#This Row],[point_codes]],FIND(";",Table4[[#This Row],[point_codes]])-1),Table4[[#This Row],[point_codes]])</f>
        <v>B-4</v>
      </c>
      <c r="P181" t="s">
        <v>838</v>
      </c>
      <c r="Q181">
        <f>IF(ISBLANK(Table4[[#This Row],[point_codes]]), "", LEN(Table4[[#This Row],[point_codes]])-LEN(SUBSTITUTE(Table4[[#This Row],[point_codes]],";",""))+1)</f>
        <v>1</v>
      </c>
      <c r="R181" t="s">
        <v>444</v>
      </c>
      <c r="T181" t="s">
        <v>735</v>
      </c>
      <c r="U181" s="3">
        <f>Table4[[#This Row],[time_out]]-Table4[[#This Row],[time_in]]</f>
        <v>6.9444444444444198E-4</v>
      </c>
    </row>
    <row r="182" spans="1:21" x14ac:dyDescent="0.3">
      <c r="B182" s="3">
        <v>0.53819444444444442</v>
      </c>
      <c r="C182" s="3">
        <v>0.53819444444444442</v>
      </c>
      <c r="E182" t="s">
        <v>331</v>
      </c>
      <c r="F182" t="str">
        <f>LEFT(Table4[[#This Row],[direction]],1)</f>
        <v>u</v>
      </c>
      <c r="G182" t="s">
        <v>312</v>
      </c>
      <c r="H182" t="s">
        <v>134</v>
      </c>
      <c r="I182" t="s">
        <v>445</v>
      </c>
      <c r="J182" s="14" t="s">
        <v>645</v>
      </c>
      <c r="K182" t="s">
        <v>446</v>
      </c>
      <c r="L182">
        <f>IFERROR(LEFT(Table4[[#This Row],[route_codes]],FIND(";",Table4[[#This Row],[route_codes]])-1),Table4[[#This Row],[route_codes]])</f>
        <v>0</v>
      </c>
      <c r="O182">
        <f>IFERROR(LEFT(Table4[[#This Row],[point_codes]],FIND(";",Table4[[#This Row],[point_codes]])-1),Table4[[#This Row],[point_codes]])</f>
        <v>0</v>
      </c>
      <c r="Q182" t="str">
        <f>IF(ISBLANK(Table4[[#This Row],[point_codes]]), "", LEN(Table4[[#This Row],[point_codes]])-LEN(SUBSTITUTE(Table4[[#This Row],[point_codes]],";",""))+1)</f>
        <v/>
      </c>
      <c r="R182" t="s">
        <v>122</v>
      </c>
      <c r="T182" t="s">
        <v>736</v>
      </c>
      <c r="U182" s="3">
        <f>Table4[[#This Row],[time_out]]-Table4[[#This Row],[time_in]]</f>
        <v>0</v>
      </c>
    </row>
    <row r="183" spans="1:21" x14ac:dyDescent="0.3">
      <c r="A183">
        <v>45989</v>
      </c>
      <c r="B183" s="3">
        <v>0.6118055555555556</v>
      </c>
      <c r="C183" s="3">
        <v>0.61250000000000004</v>
      </c>
      <c r="D183" t="s">
        <v>115</v>
      </c>
      <c r="E183" t="s">
        <v>331</v>
      </c>
      <c r="F183" t="str">
        <f>LEFT(Table4[[#This Row],[direction]],1)</f>
        <v>b</v>
      </c>
      <c r="G183" t="s">
        <v>646</v>
      </c>
      <c r="H183" t="s">
        <v>134</v>
      </c>
      <c r="J183" s="14" t="s">
        <v>645</v>
      </c>
      <c r="K183" t="s">
        <v>447</v>
      </c>
      <c r="L183">
        <f>IFERROR(LEFT(Table4[[#This Row],[route_codes]],FIND(";",Table4[[#This Row],[route_codes]])-1),Table4[[#This Row],[route_codes]])</f>
        <v>0</v>
      </c>
      <c r="O183" t="str">
        <f>IFERROR(LEFT(Table4[[#This Row],[point_codes]],FIND(";",Table4[[#This Row],[point_codes]])-1),Table4[[#This Row],[point_codes]])</f>
        <v>B-7</v>
      </c>
      <c r="P183" t="s">
        <v>744</v>
      </c>
      <c r="Q183">
        <f>IF(ISBLANK(Table4[[#This Row],[point_codes]]), "", LEN(Table4[[#This Row],[point_codes]])-LEN(SUBSTITUTE(Table4[[#This Row],[point_codes]],";",""))+1)</f>
        <v>1</v>
      </c>
      <c r="R183" t="s">
        <v>448</v>
      </c>
      <c r="S183" t="s">
        <v>449</v>
      </c>
      <c r="T183" t="s">
        <v>735</v>
      </c>
      <c r="U183" s="3">
        <f>Table4[[#This Row],[time_out]]-Table4[[#This Row],[time_in]]</f>
        <v>6.9444444444444198E-4</v>
      </c>
    </row>
    <row r="184" spans="1:21" x14ac:dyDescent="0.3">
      <c r="B184" s="3">
        <v>0.51111111111111107</v>
      </c>
      <c r="C184" s="3">
        <v>0.51180555555555551</v>
      </c>
      <c r="E184" t="s">
        <v>331</v>
      </c>
      <c r="F184" t="str">
        <f>LEFT(Table4[[#This Row],[direction]],1)</f>
        <v>b</v>
      </c>
      <c r="G184" t="s">
        <v>646</v>
      </c>
      <c r="H184" t="s">
        <v>134</v>
      </c>
      <c r="I184" t="s">
        <v>450</v>
      </c>
      <c r="J184" s="14" t="s">
        <v>645</v>
      </c>
      <c r="K184" t="s">
        <v>451</v>
      </c>
      <c r="L184" t="str">
        <f>IFERROR(LEFT(Table4[[#This Row],[route_codes]],FIND(";",Table4[[#This Row],[route_codes]])-1),Table4[[#This Row],[route_codes]])</f>
        <v>B-a</v>
      </c>
      <c r="M184" t="s">
        <v>755</v>
      </c>
      <c r="O184" t="str">
        <f>IFERROR(LEFT(Table4[[#This Row],[point_codes]],FIND(";",Table4[[#This Row],[point_codes]])-1),Table4[[#This Row],[point_codes]])</f>
        <v>B-3</v>
      </c>
      <c r="P184" t="s">
        <v>836</v>
      </c>
      <c r="Q184">
        <f>IF(ISBLANK(Table4[[#This Row],[point_codes]]), "", LEN(Table4[[#This Row],[point_codes]])-LEN(SUBSTITUTE(Table4[[#This Row],[point_codes]],";",""))+1)</f>
        <v>2</v>
      </c>
      <c r="R184" t="s">
        <v>452</v>
      </c>
      <c r="T184" t="s">
        <v>735</v>
      </c>
      <c r="U184" s="3">
        <f>Table4[[#This Row],[time_out]]-Table4[[#This Row],[time_in]]</f>
        <v>6.9444444444444198E-4</v>
      </c>
    </row>
    <row r="185" spans="1:21" x14ac:dyDescent="0.3">
      <c r="B185" s="3">
        <v>0.53888888888888886</v>
      </c>
      <c r="C185" s="3">
        <v>0.5395833333333333</v>
      </c>
      <c r="E185" t="s">
        <v>331</v>
      </c>
      <c r="F185" t="str">
        <f>LEFT(Table4[[#This Row],[direction]],1)</f>
        <v>b</v>
      </c>
      <c r="G185" t="s">
        <v>646</v>
      </c>
      <c r="H185" t="s">
        <v>643</v>
      </c>
      <c r="I185" t="s">
        <v>453</v>
      </c>
      <c r="J185" s="14" t="s">
        <v>645</v>
      </c>
      <c r="K185" t="s">
        <v>454</v>
      </c>
      <c r="L185" t="str">
        <f>IFERROR(LEFT(Table4[[#This Row],[route_codes]],FIND(";",Table4[[#This Row],[route_codes]])-1),Table4[[#This Row],[route_codes]])</f>
        <v>B-b</v>
      </c>
      <c r="M185" t="s">
        <v>758</v>
      </c>
      <c r="O185" t="str">
        <f>IFERROR(LEFT(Table4[[#This Row],[point_codes]],FIND(";",Table4[[#This Row],[point_codes]])-1),Table4[[#This Row],[point_codes]])</f>
        <v>B-9</v>
      </c>
      <c r="P185" t="s">
        <v>761</v>
      </c>
      <c r="Q185">
        <f>IF(ISBLANK(Table4[[#This Row],[point_codes]]), "", LEN(Table4[[#This Row],[point_codes]])-LEN(SUBSTITUTE(Table4[[#This Row],[point_codes]],";",""))+1)</f>
        <v>1</v>
      </c>
      <c r="R185" t="s">
        <v>455</v>
      </c>
      <c r="T185" t="s">
        <v>734</v>
      </c>
      <c r="U185" s="3">
        <f>Table4[[#This Row],[time_out]]-Table4[[#This Row],[time_in]]</f>
        <v>6.9444444444444198E-4</v>
      </c>
    </row>
    <row r="186" spans="1:21" x14ac:dyDescent="0.3">
      <c r="A186">
        <v>45980</v>
      </c>
      <c r="B186" s="3">
        <v>0.6069444444444444</v>
      </c>
      <c r="C186" s="3">
        <v>0.61041666666666672</v>
      </c>
      <c r="D186" t="s">
        <v>15</v>
      </c>
      <c r="E186" t="s">
        <v>331</v>
      </c>
      <c r="F186" t="str">
        <f>LEFT(Table4[[#This Row],[direction]],1)</f>
        <v>b</v>
      </c>
      <c r="G186" t="s">
        <v>646</v>
      </c>
      <c r="H186" t="s">
        <v>643</v>
      </c>
      <c r="I186" t="s">
        <v>456</v>
      </c>
      <c r="J186" s="14" t="s">
        <v>645</v>
      </c>
      <c r="K186" t="s">
        <v>457</v>
      </c>
      <c r="L186">
        <f>IFERROR(LEFT(Table4[[#This Row],[route_codes]],FIND(";",Table4[[#This Row],[route_codes]])-1),Table4[[#This Row],[route_codes]])</f>
        <v>0</v>
      </c>
      <c r="O186" t="str">
        <f>IFERROR(LEFT(Table4[[#This Row],[point_codes]],FIND(";",Table4[[#This Row],[point_codes]])-1),Table4[[#This Row],[point_codes]])</f>
        <v>B-5</v>
      </c>
      <c r="P186" t="s">
        <v>852</v>
      </c>
      <c r="Q186">
        <f>IF(ISBLANK(Table4[[#This Row],[point_codes]]), "", LEN(Table4[[#This Row],[point_codes]])-LEN(SUBSTITUTE(Table4[[#This Row],[point_codes]],";",""))+1)</f>
        <v>2</v>
      </c>
      <c r="R186" t="s">
        <v>458</v>
      </c>
      <c r="T186" t="s">
        <v>734</v>
      </c>
      <c r="U186" s="3">
        <f>Table4[[#This Row],[time_out]]-Table4[[#This Row],[time_in]]</f>
        <v>3.4722222222223209E-3</v>
      </c>
    </row>
    <row r="187" spans="1:21" x14ac:dyDescent="0.3">
      <c r="A187">
        <v>45973</v>
      </c>
      <c r="B187" s="3">
        <v>0.4597222222222222</v>
      </c>
      <c r="C187" s="3">
        <v>0.46041666666666664</v>
      </c>
      <c r="D187" t="s">
        <v>15</v>
      </c>
      <c r="E187" t="s">
        <v>331</v>
      </c>
      <c r="F187" t="str">
        <f>LEFT(Table4[[#This Row],[direction]],1)</f>
        <v>a</v>
      </c>
      <c r="G187" t="s">
        <v>642</v>
      </c>
      <c r="H187" t="s">
        <v>643</v>
      </c>
      <c r="I187" t="s">
        <v>459</v>
      </c>
      <c r="J187" s="14" t="s">
        <v>645</v>
      </c>
      <c r="K187" t="s">
        <v>460</v>
      </c>
      <c r="L187">
        <f>IFERROR(LEFT(Table4[[#This Row],[route_codes]],FIND(";",Table4[[#This Row],[route_codes]])-1),Table4[[#This Row],[route_codes]])</f>
        <v>0</v>
      </c>
      <c r="O187" t="str">
        <f>IFERROR(LEFT(Table4[[#This Row],[point_codes]],FIND(";",Table4[[#This Row],[point_codes]])-1),Table4[[#This Row],[point_codes]])</f>
        <v>B-4</v>
      </c>
      <c r="P187" t="s">
        <v>838</v>
      </c>
      <c r="Q187">
        <f>IF(ISBLANK(Table4[[#This Row],[point_codes]]), "", LEN(Table4[[#This Row],[point_codes]])-LEN(SUBSTITUTE(Table4[[#This Row],[point_codes]],";",""))+1)</f>
        <v>1</v>
      </c>
      <c r="R187" t="s">
        <v>461</v>
      </c>
      <c r="T187" t="s">
        <v>734</v>
      </c>
      <c r="U187" s="3">
        <f>Table4[[#This Row],[time_out]]-Table4[[#This Row],[time_in]]</f>
        <v>6.9444444444444198E-4</v>
      </c>
    </row>
    <row r="188" spans="1:21" x14ac:dyDescent="0.3">
      <c r="A188">
        <v>45980</v>
      </c>
      <c r="B188" s="3">
        <v>0.60763888888888884</v>
      </c>
      <c r="C188" s="3">
        <v>0.60833333333333328</v>
      </c>
      <c r="D188" t="s">
        <v>15</v>
      </c>
      <c r="E188" t="s">
        <v>331</v>
      </c>
      <c r="F188" t="str">
        <f>LEFT(Table4[[#This Row],[direction]],1)</f>
        <v>a</v>
      </c>
      <c r="G188" t="s">
        <v>642</v>
      </c>
      <c r="H188" t="s">
        <v>134</v>
      </c>
      <c r="I188" t="s">
        <v>462</v>
      </c>
      <c r="J188" s="14" t="s">
        <v>645</v>
      </c>
      <c r="K188" t="s">
        <v>463</v>
      </c>
      <c r="L188">
        <f>IFERROR(LEFT(Table4[[#This Row],[route_codes]],FIND(";",Table4[[#This Row],[route_codes]])-1),Table4[[#This Row],[route_codes]])</f>
        <v>0</v>
      </c>
      <c r="O188" t="str">
        <f>IFERROR(LEFT(Table4[[#This Row],[point_codes]],FIND(";",Table4[[#This Row],[point_codes]])-1),Table4[[#This Row],[point_codes]])</f>
        <v>B-4</v>
      </c>
      <c r="P188" t="s">
        <v>838</v>
      </c>
      <c r="Q188">
        <f>IF(ISBLANK(Table4[[#This Row],[point_codes]]), "", LEN(Table4[[#This Row],[point_codes]])-LEN(SUBSTITUTE(Table4[[#This Row],[point_codes]],";",""))+1)</f>
        <v>1</v>
      </c>
      <c r="R188" t="s">
        <v>464</v>
      </c>
      <c r="T188" t="s">
        <v>735</v>
      </c>
      <c r="U188" s="3">
        <f>Table4[[#This Row],[time_out]]-Table4[[#This Row],[time_in]]</f>
        <v>6.9444444444444198E-4</v>
      </c>
    </row>
    <row r="189" spans="1:21" x14ac:dyDescent="0.3">
      <c r="A189">
        <v>45973</v>
      </c>
      <c r="B189" s="3">
        <v>0.46805555555555556</v>
      </c>
      <c r="C189" s="3">
        <v>0.46875</v>
      </c>
      <c r="D189" t="s">
        <v>15</v>
      </c>
      <c r="E189" t="s">
        <v>331</v>
      </c>
      <c r="F189" t="str">
        <f>LEFT(Table4[[#This Row],[direction]],1)</f>
        <v>a</v>
      </c>
      <c r="G189" t="s">
        <v>642</v>
      </c>
      <c r="H189" t="s">
        <v>134</v>
      </c>
      <c r="I189" t="s">
        <v>465</v>
      </c>
      <c r="J189" s="14" t="s">
        <v>644</v>
      </c>
      <c r="K189" t="s">
        <v>466</v>
      </c>
      <c r="L189">
        <f>IFERROR(LEFT(Table4[[#This Row],[route_codes]],FIND(";",Table4[[#This Row],[route_codes]])-1),Table4[[#This Row],[route_codes]])</f>
        <v>0</v>
      </c>
      <c r="O189" t="str">
        <f>IFERROR(LEFT(Table4[[#This Row],[point_codes]],FIND(";",Table4[[#This Row],[point_codes]])-1),Table4[[#This Row],[point_codes]])</f>
        <v>B-4</v>
      </c>
      <c r="P189" t="s">
        <v>838</v>
      </c>
      <c r="Q189">
        <f>IF(ISBLANK(Table4[[#This Row],[point_codes]]), "", LEN(Table4[[#This Row],[point_codes]])-LEN(SUBSTITUTE(Table4[[#This Row],[point_codes]],";",""))+1)</f>
        <v>1</v>
      </c>
      <c r="R189" t="s">
        <v>467</v>
      </c>
      <c r="T189" t="s">
        <v>734</v>
      </c>
      <c r="U189" s="3">
        <f>Table4[[#This Row],[time_out]]-Table4[[#This Row],[time_in]]</f>
        <v>6.9444444444444198E-4</v>
      </c>
    </row>
    <row r="190" spans="1:21" x14ac:dyDescent="0.3">
      <c r="A190">
        <v>45988</v>
      </c>
      <c r="B190" s="3">
        <v>0.46527777777777779</v>
      </c>
      <c r="C190" s="3">
        <v>0.46666666666666667</v>
      </c>
      <c r="D190" t="s">
        <v>15</v>
      </c>
      <c r="E190" t="s">
        <v>331</v>
      </c>
      <c r="F190" t="str">
        <f>LEFT(Table4[[#This Row],[direction]],1)</f>
        <v>a</v>
      </c>
      <c r="G190" t="s">
        <v>642</v>
      </c>
      <c r="H190" t="s">
        <v>490</v>
      </c>
      <c r="I190" t="s">
        <v>468</v>
      </c>
      <c r="J190" s="14" t="s">
        <v>645</v>
      </c>
      <c r="K190" t="s">
        <v>469</v>
      </c>
      <c r="L190">
        <f>IFERROR(LEFT(Table4[[#This Row],[route_codes]],FIND(";",Table4[[#This Row],[route_codes]])-1),Table4[[#This Row],[route_codes]])</f>
        <v>0</v>
      </c>
      <c r="O190" t="str">
        <f>IFERROR(LEFT(Table4[[#This Row],[point_codes]],FIND(";",Table4[[#This Row],[point_codes]])-1),Table4[[#This Row],[point_codes]])</f>
        <v>B-7</v>
      </c>
      <c r="P190" t="s">
        <v>853</v>
      </c>
      <c r="Q190">
        <f>IF(ISBLANK(Table4[[#This Row],[point_codes]]), "", LEN(Table4[[#This Row],[point_codes]])-LEN(SUBSTITUTE(Table4[[#This Row],[point_codes]],";",""))+1)</f>
        <v>2</v>
      </c>
      <c r="R190" t="s">
        <v>469</v>
      </c>
      <c r="T190" t="s">
        <v>734</v>
      </c>
      <c r="U190" s="3">
        <f>Table4[[#This Row],[time_out]]-Table4[[#This Row],[time_in]]</f>
        <v>1.388888888888884E-3</v>
      </c>
    </row>
    <row r="191" spans="1:21" x14ac:dyDescent="0.3">
      <c r="A191">
        <v>45991</v>
      </c>
      <c r="B191" s="3">
        <v>0.54861111111111116</v>
      </c>
      <c r="C191" s="3">
        <v>0.54861111111111116</v>
      </c>
      <c r="D191" t="s">
        <v>147</v>
      </c>
      <c r="E191" t="s">
        <v>331</v>
      </c>
      <c r="F191" t="str">
        <f>LEFT(Table4[[#This Row],[direction]],1)</f>
        <v>b</v>
      </c>
      <c r="G191" t="s">
        <v>646</v>
      </c>
      <c r="H191" t="s">
        <v>134</v>
      </c>
      <c r="I191" t="s">
        <v>470</v>
      </c>
      <c r="J191" s="14" t="s">
        <v>645</v>
      </c>
      <c r="K191" t="s">
        <v>471</v>
      </c>
      <c r="L191">
        <f>IFERROR(LEFT(Table4[[#This Row],[route_codes]],FIND(";",Table4[[#This Row],[route_codes]])-1),Table4[[#This Row],[route_codes]])</f>
        <v>0</v>
      </c>
      <c r="O191">
        <f>IFERROR(LEFT(Table4[[#This Row],[point_codes]],FIND(";",Table4[[#This Row],[point_codes]])-1),Table4[[#This Row],[point_codes]])</f>
        <v>0</v>
      </c>
      <c r="Q191" t="str">
        <f>IF(ISBLANK(Table4[[#This Row],[point_codes]]), "", LEN(Table4[[#This Row],[point_codes]])-LEN(SUBSTITUTE(Table4[[#This Row],[point_codes]],";",""))+1)</f>
        <v/>
      </c>
      <c r="R191" t="s">
        <v>122</v>
      </c>
      <c r="S191" t="s">
        <v>472</v>
      </c>
      <c r="T191" t="s">
        <v>736</v>
      </c>
      <c r="U191" s="3">
        <f>Table4[[#This Row],[time_out]]-Table4[[#This Row],[time_in]]</f>
        <v>0</v>
      </c>
    </row>
    <row r="192" spans="1:21" x14ac:dyDescent="0.3">
      <c r="A192">
        <v>45991</v>
      </c>
      <c r="B192" s="3">
        <v>0.55138888888888893</v>
      </c>
      <c r="C192" s="3">
        <v>0.55138888888888893</v>
      </c>
      <c r="D192" t="s">
        <v>147</v>
      </c>
      <c r="E192" t="s">
        <v>331</v>
      </c>
      <c r="F192" t="str">
        <f>LEFT(Table4[[#This Row],[direction]],1)</f>
        <v>b</v>
      </c>
      <c r="G192" t="s">
        <v>646</v>
      </c>
      <c r="H192" t="s">
        <v>643</v>
      </c>
      <c r="I192" t="s">
        <v>473</v>
      </c>
      <c r="J192" s="14" t="s">
        <v>644</v>
      </c>
      <c r="K192" t="s">
        <v>441</v>
      </c>
      <c r="L192">
        <f>IFERROR(LEFT(Table4[[#This Row],[route_codes]],FIND(";",Table4[[#This Row],[route_codes]])-1),Table4[[#This Row],[route_codes]])</f>
        <v>0</v>
      </c>
      <c r="O192">
        <f>IFERROR(LEFT(Table4[[#This Row],[point_codes]],FIND(";",Table4[[#This Row],[point_codes]])-1),Table4[[#This Row],[point_codes]])</f>
        <v>0</v>
      </c>
      <c r="Q192" t="str">
        <f>IF(ISBLANK(Table4[[#This Row],[point_codes]]), "", LEN(Table4[[#This Row],[point_codes]])-LEN(SUBSTITUTE(Table4[[#This Row],[point_codes]],";",""))+1)</f>
        <v/>
      </c>
      <c r="R192" t="s">
        <v>122</v>
      </c>
      <c r="S192" t="s">
        <v>474</v>
      </c>
      <c r="T192" t="s">
        <v>736</v>
      </c>
      <c r="U192" s="3">
        <f>Table4[[#This Row],[time_out]]-Table4[[#This Row],[time_in]]</f>
        <v>0</v>
      </c>
    </row>
    <row r="193" spans="1:21" x14ac:dyDescent="0.3">
      <c r="A193">
        <v>45988</v>
      </c>
      <c r="B193" s="3">
        <v>0.48958333333333331</v>
      </c>
      <c r="C193" s="3">
        <v>0.49027777777777776</v>
      </c>
      <c r="D193" t="s">
        <v>15</v>
      </c>
      <c r="E193" t="s">
        <v>331</v>
      </c>
      <c r="F193" t="str">
        <f>LEFT(Table4[[#This Row],[direction]],1)</f>
        <v>b</v>
      </c>
      <c r="G193" t="s">
        <v>646</v>
      </c>
      <c r="H193" t="s">
        <v>490</v>
      </c>
      <c r="I193" t="s">
        <v>475</v>
      </c>
      <c r="J193" s="14" t="s">
        <v>645</v>
      </c>
      <c r="K193" t="s">
        <v>476</v>
      </c>
      <c r="L193">
        <f>IFERROR(LEFT(Table4[[#This Row],[route_codes]],FIND(";",Table4[[#This Row],[route_codes]])-1),Table4[[#This Row],[route_codes]])</f>
        <v>0</v>
      </c>
      <c r="O193" t="str">
        <f>IFERROR(LEFT(Table4[[#This Row],[point_codes]],FIND(";",Table4[[#This Row],[point_codes]])-1),Table4[[#This Row],[point_codes]])</f>
        <v>B-4</v>
      </c>
      <c r="P193" t="s">
        <v>831</v>
      </c>
      <c r="Q193">
        <f>IF(ISBLANK(Table4[[#This Row],[point_codes]]), "", LEN(Table4[[#This Row],[point_codes]])-LEN(SUBSTITUTE(Table4[[#This Row],[point_codes]],";",""))+1)</f>
        <v>2</v>
      </c>
      <c r="R193" t="s">
        <v>408</v>
      </c>
      <c r="T193" t="s">
        <v>734</v>
      </c>
      <c r="U193" s="3">
        <f>Table4[[#This Row],[time_out]]-Table4[[#This Row],[time_in]]</f>
        <v>6.9444444444444198E-4</v>
      </c>
    </row>
    <row r="194" spans="1:21" x14ac:dyDescent="0.3">
      <c r="A194">
        <v>45991</v>
      </c>
      <c r="B194" s="3">
        <v>0.49236111111111114</v>
      </c>
      <c r="C194" s="3">
        <v>0.49375000000000002</v>
      </c>
      <c r="D194" t="s">
        <v>147</v>
      </c>
      <c r="E194" t="s">
        <v>331</v>
      </c>
      <c r="F194" t="str">
        <f>LEFT(Table4[[#This Row],[direction]],1)</f>
        <v>a</v>
      </c>
      <c r="G194" t="s">
        <v>642</v>
      </c>
      <c r="H194" t="s">
        <v>643</v>
      </c>
      <c r="J194" s="14" t="s">
        <v>645</v>
      </c>
      <c r="K194" t="s">
        <v>477</v>
      </c>
      <c r="L194" t="str">
        <f>IFERROR(LEFT(Table4[[#This Row],[route_codes]],FIND(";",Table4[[#This Row],[route_codes]])-1),Table4[[#This Row],[route_codes]])</f>
        <v>B-d</v>
      </c>
      <c r="M194" t="s">
        <v>765</v>
      </c>
      <c r="O194" t="str">
        <f>IFERROR(LEFT(Table4[[#This Row],[point_codes]],FIND(";",Table4[[#This Row],[point_codes]])-1),Table4[[#This Row],[point_codes]])</f>
        <v>B-5</v>
      </c>
      <c r="P194" t="s">
        <v>854</v>
      </c>
      <c r="Q194">
        <f>IF(ISBLANK(Table4[[#This Row],[point_codes]]), "", LEN(Table4[[#This Row],[point_codes]])-LEN(SUBSTITUTE(Table4[[#This Row],[point_codes]],";",""))+1)</f>
        <v>3</v>
      </c>
      <c r="R194" t="s">
        <v>478</v>
      </c>
      <c r="T194" t="s">
        <v>735</v>
      </c>
      <c r="U194" s="3">
        <f>Table4[[#This Row],[time_out]]-Table4[[#This Row],[time_in]]</f>
        <v>1.388888888888884E-3</v>
      </c>
    </row>
    <row r="195" spans="1:21" x14ac:dyDescent="0.3">
      <c r="A195">
        <v>45998</v>
      </c>
      <c r="B195" s="3">
        <v>0.48125000000000001</v>
      </c>
      <c r="C195" s="3">
        <v>0.48194444444444445</v>
      </c>
      <c r="D195" t="s">
        <v>28</v>
      </c>
      <c r="E195" t="s">
        <v>331</v>
      </c>
      <c r="F195" t="str">
        <f>LEFT(Table4[[#This Row],[direction]],1)</f>
        <v>b</v>
      </c>
      <c r="G195" t="s">
        <v>646</v>
      </c>
      <c r="H195" t="s">
        <v>643</v>
      </c>
      <c r="I195" t="s">
        <v>82</v>
      </c>
      <c r="J195" s="14" t="s">
        <v>645</v>
      </c>
      <c r="K195" t="s">
        <v>479</v>
      </c>
      <c r="L195" t="str">
        <f>IFERROR(LEFT(Table4[[#This Row],[route_codes]],FIND(";",Table4[[#This Row],[route_codes]])-1),Table4[[#This Row],[route_codes]])</f>
        <v>B-a</v>
      </c>
      <c r="M195" t="s">
        <v>755</v>
      </c>
      <c r="O195" t="str">
        <f>IFERROR(LEFT(Table4[[#This Row],[point_codes]],FIND(";",Table4[[#This Row],[point_codes]])-1),Table4[[#This Row],[point_codes]])</f>
        <v>B-3</v>
      </c>
      <c r="P195" t="s">
        <v>850</v>
      </c>
      <c r="Q195">
        <f>IF(ISBLANK(Table4[[#This Row],[point_codes]]), "", LEN(Table4[[#This Row],[point_codes]])-LEN(SUBSTITUTE(Table4[[#This Row],[point_codes]],";",""))+1)</f>
        <v>3</v>
      </c>
      <c r="R195" t="s">
        <v>480</v>
      </c>
      <c r="T195" t="s">
        <v>734</v>
      </c>
      <c r="U195" s="3">
        <f>Table4[[#This Row],[time_out]]-Table4[[#This Row],[time_in]]</f>
        <v>6.9444444444444198E-4</v>
      </c>
    </row>
    <row r="196" spans="1:21" x14ac:dyDescent="0.3">
      <c r="A196">
        <v>45994</v>
      </c>
      <c r="B196" s="3">
        <v>0.50138888888888888</v>
      </c>
      <c r="C196" s="3">
        <v>0.50347222222222221</v>
      </c>
      <c r="D196" t="s">
        <v>15</v>
      </c>
      <c r="E196" t="s">
        <v>331</v>
      </c>
      <c r="F196" t="str">
        <f>LEFT(Table4[[#This Row],[direction]],1)</f>
        <v>a</v>
      </c>
      <c r="G196" t="s">
        <v>642</v>
      </c>
      <c r="H196" t="s">
        <v>643</v>
      </c>
      <c r="I196" t="s">
        <v>40</v>
      </c>
      <c r="J196" s="14" t="s">
        <v>644</v>
      </c>
      <c r="K196" t="s">
        <v>481</v>
      </c>
      <c r="L196" t="str">
        <f>IFERROR(LEFT(Table4[[#This Row],[route_codes]],FIND(";",Table4[[#This Row],[route_codes]])-1),Table4[[#This Row],[route_codes]])</f>
        <v>B-d</v>
      </c>
      <c r="M196" t="s">
        <v>765</v>
      </c>
      <c r="O196" t="str">
        <f>IFERROR(LEFT(Table4[[#This Row],[point_codes]],FIND(";",Table4[[#This Row],[point_codes]])-1),Table4[[#This Row],[point_codes]])</f>
        <v>B-7</v>
      </c>
      <c r="P196" t="s">
        <v>855</v>
      </c>
      <c r="Q196">
        <f>IF(ISBLANK(Table4[[#This Row],[point_codes]]), "", LEN(Table4[[#This Row],[point_codes]])-LEN(SUBSTITUTE(Table4[[#This Row],[point_codes]],";",""))+1)</f>
        <v>3</v>
      </c>
      <c r="R196" t="s">
        <v>482</v>
      </c>
      <c r="T196" t="s">
        <v>734</v>
      </c>
      <c r="U196" s="3">
        <f>Table4[[#This Row],[time_out]]-Table4[[#This Row],[time_in]]</f>
        <v>2.0833333333333259E-3</v>
      </c>
    </row>
    <row r="197" spans="1:21" x14ac:dyDescent="0.3">
      <c r="A197">
        <v>45994</v>
      </c>
      <c r="B197" s="3">
        <v>0.51111111111111107</v>
      </c>
      <c r="C197" s="3">
        <v>0.51458333333333328</v>
      </c>
      <c r="D197" t="s">
        <v>15</v>
      </c>
      <c r="E197" t="s">
        <v>331</v>
      </c>
      <c r="F197" t="str">
        <f>LEFT(Table4[[#This Row],[direction]],1)</f>
        <v>a</v>
      </c>
      <c r="G197" t="s">
        <v>642</v>
      </c>
      <c r="H197" t="s">
        <v>643</v>
      </c>
      <c r="I197" t="s">
        <v>47</v>
      </c>
      <c r="J197" s="14" t="s">
        <v>645</v>
      </c>
      <c r="K197" t="s">
        <v>483</v>
      </c>
      <c r="L197" t="str">
        <f>IFERROR(LEFT(Table4[[#This Row],[route_codes]],FIND(";",Table4[[#This Row],[route_codes]])-1),Table4[[#This Row],[route_codes]])</f>
        <v>B-d</v>
      </c>
      <c r="M197" t="s">
        <v>765</v>
      </c>
      <c r="O197" t="str">
        <f>IFERROR(LEFT(Table4[[#This Row],[point_codes]],FIND(";",Table4[[#This Row],[point_codes]])-1),Table4[[#This Row],[point_codes]])</f>
        <v>B-13</v>
      </c>
      <c r="P197" t="s">
        <v>856</v>
      </c>
      <c r="Q197">
        <f>IF(ISBLANK(Table4[[#This Row],[point_codes]]), "", LEN(Table4[[#This Row],[point_codes]])-LEN(SUBSTITUTE(Table4[[#This Row],[point_codes]],";",""))+1)</f>
        <v>6</v>
      </c>
      <c r="R197" t="s">
        <v>483</v>
      </c>
      <c r="T197" t="s">
        <v>734</v>
      </c>
      <c r="U197" s="3">
        <f>Table4[[#This Row],[time_out]]-Table4[[#This Row],[time_in]]</f>
        <v>3.4722222222222099E-3</v>
      </c>
    </row>
    <row r="198" spans="1:21" x14ac:dyDescent="0.3">
      <c r="B198" s="3">
        <v>0.53611111111111109</v>
      </c>
      <c r="C198" s="3">
        <v>0.53749999999999998</v>
      </c>
      <c r="E198" t="s">
        <v>331</v>
      </c>
      <c r="F198" t="str">
        <f>LEFT(Table4[[#This Row],[direction]],1)</f>
        <v>a</v>
      </c>
      <c r="G198" t="s">
        <v>642</v>
      </c>
      <c r="H198" t="s">
        <v>643</v>
      </c>
      <c r="I198" t="s">
        <v>82</v>
      </c>
      <c r="J198" s="14" t="s">
        <v>645</v>
      </c>
      <c r="K198" t="s">
        <v>484</v>
      </c>
      <c r="L198">
        <f>IFERROR(LEFT(Table4[[#This Row],[route_codes]],FIND(";",Table4[[#This Row],[route_codes]])-1),Table4[[#This Row],[route_codes]])</f>
        <v>0</v>
      </c>
      <c r="O198" t="str">
        <f>IFERROR(LEFT(Table4[[#This Row],[point_codes]],FIND(";",Table4[[#This Row],[point_codes]])-1),Table4[[#This Row],[point_codes]])</f>
        <v>B-5</v>
      </c>
      <c r="P198" t="s">
        <v>857</v>
      </c>
      <c r="Q198">
        <f>IF(ISBLANK(Table4[[#This Row],[point_codes]]), "", LEN(Table4[[#This Row],[point_codes]])-LEN(SUBSTITUTE(Table4[[#This Row],[point_codes]],";",""))+1)</f>
        <v>2</v>
      </c>
      <c r="R198" t="s">
        <v>485</v>
      </c>
      <c r="T198" t="s">
        <v>734</v>
      </c>
      <c r="U198" s="3">
        <f>Table4[[#This Row],[time_out]]-Table4[[#This Row],[time_in]]</f>
        <v>1.388888888888884E-3</v>
      </c>
    </row>
    <row r="199" spans="1:21" x14ac:dyDescent="0.3">
      <c r="A199">
        <v>45966</v>
      </c>
      <c r="B199" s="3">
        <v>0.52986111111111112</v>
      </c>
      <c r="C199" s="3">
        <v>0.53125</v>
      </c>
      <c r="D199" t="s">
        <v>15</v>
      </c>
      <c r="E199" t="s">
        <v>331</v>
      </c>
      <c r="F199" t="str">
        <f>LEFT(Table4[[#This Row],[direction]],1)</f>
        <v>b</v>
      </c>
      <c r="G199" t="s">
        <v>646</v>
      </c>
      <c r="H199" t="s">
        <v>134</v>
      </c>
      <c r="I199" t="s">
        <v>462</v>
      </c>
      <c r="J199" s="14" t="s">
        <v>645</v>
      </c>
      <c r="K199" t="s">
        <v>486</v>
      </c>
      <c r="L199" t="str">
        <f>IFERROR(LEFT(Table4[[#This Row],[route_codes]],FIND(";",Table4[[#This Row],[route_codes]])-1),Table4[[#This Row],[route_codes]])</f>
        <v>B-d</v>
      </c>
      <c r="M199" t="s">
        <v>765</v>
      </c>
      <c r="O199" t="str">
        <f>IFERROR(LEFT(Table4[[#This Row],[point_codes]],FIND(";",Table4[[#This Row],[point_codes]])-1),Table4[[#This Row],[point_codes]])</f>
        <v>B-9</v>
      </c>
      <c r="P199" t="s">
        <v>858</v>
      </c>
      <c r="Q199">
        <f>IF(ISBLANK(Table4[[#This Row],[point_codes]]), "", LEN(Table4[[#This Row],[point_codes]])-LEN(SUBSTITUTE(Table4[[#This Row],[point_codes]],";",""))+1)</f>
        <v>3</v>
      </c>
      <c r="R199" t="s">
        <v>487</v>
      </c>
      <c r="T199" t="s">
        <v>734</v>
      </c>
      <c r="U199" s="3">
        <f>Table4[[#This Row],[time_out]]-Table4[[#This Row],[time_in]]</f>
        <v>1.388888888888884E-3</v>
      </c>
    </row>
    <row r="200" spans="1:21" x14ac:dyDescent="0.3">
      <c r="A200">
        <v>45989</v>
      </c>
      <c r="B200" s="3">
        <v>0.62013888888888891</v>
      </c>
      <c r="C200" s="3">
        <v>0.62152777777777779</v>
      </c>
      <c r="D200" t="s">
        <v>115</v>
      </c>
      <c r="E200" t="s">
        <v>331</v>
      </c>
      <c r="F200" t="str">
        <f>LEFT(Table4[[#This Row],[direction]],1)</f>
        <v>b</v>
      </c>
      <c r="G200" t="s">
        <v>646</v>
      </c>
      <c r="H200" t="s">
        <v>134</v>
      </c>
      <c r="I200" t="s">
        <v>488</v>
      </c>
      <c r="J200" s="14" t="s">
        <v>644</v>
      </c>
      <c r="K200" t="s">
        <v>489</v>
      </c>
      <c r="L200" t="str">
        <f>IFERROR(LEFT(Table4[[#This Row],[route_codes]],FIND(";",Table4[[#This Row],[route_codes]])-1),Table4[[#This Row],[route_codes]])</f>
        <v>B-d</v>
      </c>
      <c r="M200" t="s">
        <v>765</v>
      </c>
      <c r="O200" t="str">
        <f>IFERROR(LEFT(Table4[[#This Row],[point_codes]],FIND(";",Table4[[#This Row],[point_codes]])-1),Table4[[#This Row],[point_codes]])</f>
        <v>B-10</v>
      </c>
      <c r="P200" t="s">
        <v>859</v>
      </c>
      <c r="Q200">
        <f>IF(ISBLANK(Table4[[#This Row],[point_codes]]), "", LEN(Table4[[#This Row],[point_codes]])-LEN(SUBSTITUTE(Table4[[#This Row],[point_codes]],";",""))+1)</f>
        <v>3</v>
      </c>
      <c r="R200" t="s">
        <v>489</v>
      </c>
      <c r="T200" t="s">
        <v>734</v>
      </c>
      <c r="U200" s="3">
        <f>Table4[[#This Row],[time_out]]-Table4[[#This Row],[time_in]]</f>
        <v>1.388888888888884E-3</v>
      </c>
    </row>
    <row r="201" spans="1:21" x14ac:dyDescent="0.3">
      <c r="A201">
        <v>45973</v>
      </c>
      <c r="B201" s="3">
        <v>0.45069444444444445</v>
      </c>
      <c r="C201" s="3">
        <v>0.4513888888888889</v>
      </c>
      <c r="D201" t="s">
        <v>15</v>
      </c>
      <c r="E201" t="s">
        <v>331</v>
      </c>
      <c r="F201" t="str">
        <f>LEFT(Table4[[#This Row],[direction]],1)</f>
        <v>a</v>
      </c>
      <c r="G201" t="s">
        <v>642</v>
      </c>
      <c r="H201" t="s">
        <v>490</v>
      </c>
      <c r="I201" t="s">
        <v>491</v>
      </c>
      <c r="J201" s="14" t="s">
        <v>645</v>
      </c>
      <c r="K201" t="s">
        <v>492</v>
      </c>
      <c r="L201">
        <f>IFERROR(LEFT(Table4[[#This Row],[route_codes]],FIND(";",Table4[[#This Row],[route_codes]])-1),Table4[[#This Row],[route_codes]])</f>
        <v>0</v>
      </c>
      <c r="O201" t="str">
        <f>IFERROR(LEFT(Table4[[#This Row],[point_codes]],FIND(";",Table4[[#This Row],[point_codes]])-1),Table4[[#This Row],[point_codes]])</f>
        <v>B-4</v>
      </c>
      <c r="P201" t="s">
        <v>838</v>
      </c>
      <c r="Q201">
        <f>IF(ISBLANK(Table4[[#This Row],[point_codes]]), "", LEN(Table4[[#This Row],[point_codes]])-LEN(SUBSTITUTE(Table4[[#This Row],[point_codes]],";",""))+1)</f>
        <v>1</v>
      </c>
      <c r="R201" t="s">
        <v>493</v>
      </c>
      <c r="T201" t="s">
        <v>734</v>
      </c>
      <c r="U201" s="3">
        <f>Table4[[#This Row],[time_out]]-Table4[[#This Row],[time_in]]</f>
        <v>6.9444444444444198E-4</v>
      </c>
    </row>
    <row r="202" spans="1:21" x14ac:dyDescent="0.3">
      <c r="A202">
        <v>45966</v>
      </c>
      <c r="B202" s="3">
        <v>0.52777777777777779</v>
      </c>
      <c r="C202" s="3">
        <v>0.52847222222222223</v>
      </c>
      <c r="D202" t="s">
        <v>15</v>
      </c>
      <c r="E202" t="s">
        <v>331</v>
      </c>
      <c r="F202" t="str">
        <f>LEFT(Table4[[#This Row],[direction]],1)</f>
        <v>a</v>
      </c>
      <c r="G202" t="s">
        <v>642</v>
      </c>
      <c r="H202" t="s">
        <v>134</v>
      </c>
      <c r="I202" t="s">
        <v>494</v>
      </c>
      <c r="J202" s="14" t="s">
        <v>645</v>
      </c>
      <c r="K202" t="s">
        <v>495</v>
      </c>
      <c r="L202" t="str">
        <f>IFERROR(LEFT(Table4[[#This Row],[route_codes]],FIND(";",Table4[[#This Row],[route_codes]])-1),Table4[[#This Row],[route_codes]])</f>
        <v>B-d</v>
      </c>
      <c r="M202" t="s">
        <v>765</v>
      </c>
      <c r="O202">
        <f>IFERROR(LEFT(Table4[[#This Row],[point_codes]],FIND(";",Table4[[#This Row],[point_codes]])-1),Table4[[#This Row],[point_codes]])</f>
        <v>0</v>
      </c>
      <c r="Q202" t="str">
        <f>IF(ISBLANK(Table4[[#This Row],[point_codes]]), "", LEN(Table4[[#This Row],[point_codes]])-LEN(SUBSTITUTE(Table4[[#This Row],[point_codes]],";",""))+1)</f>
        <v/>
      </c>
      <c r="R202" t="s">
        <v>496</v>
      </c>
      <c r="T202" t="s">
        <v>736</v>
      </c>
      <c r="U202" s="3">
        <f>Table4[[#This Row],[time_out]]-Table4[[#This Row],[time_in]]</f>
        <v>6.9444444444444198E-4</v>
      </c>
    </row>
    <row r="203" spans="1:21" x14ac:dyDescent="0.3">
      <c r="A203">
        <v>45984</v>
      </c>
      <c r="B203" s="3">
        <v>0.6069444444444444</v>
      </c>
      <c r="C203" s="3">
        <v>0.6069444444444444</v>
      </c>
      <c r="D203" t="s">
        <v>361</v>
      </c>
      <c r="E203" t="s">
        <v>331</v>
      </c>
      <c r="F203" t="str">
        <f>LEFT(Table4[[#This Row],[direction]],1)</f>
        <v>b</v>
      </c>
      <c r="G203" t="s">
        <v>646</v>
      </c>
      <c r="H203" t="s">
        <v>134</v>
      </c>
      <c r="J203" s="14" t="s">
        <v>312</v>
      </c>
      <c r="K203" t="s">
        <v>498</v>
      </c>
      <c r="L203">
        <f>IFERROR(LEFT(Table4[[#This Row],[route_codes]],FIND(";",Table4[[#This Row],[route_codes]])-1),Table4[[#This Row],[route_codes]])</f>
        <v>0</v>
      </c>
      <c r="O203">
        <f>IFERROR(LEFT(Table4[[#This Row],[point_codes]],FIND(";",Table4[[#This Row],[point_codes]])-1),Table4[[#This Row],[point_codes]])</f>
        <v>0</v>
      </c>
      <c r="Q203" t="str">
        <f>IF(ISBLANK(Table4[[#This Row],[point_codes]]), "", LEN(Table4[[#This Row],[point_codes]])-LEN(SUBSTITUTE(Table4[[#This Row],[point_codes]],";",""))+1)</f>
        <v/>
      </c>
      <c r="R203" t="s">
        <v>246</v>
      </c>
      <c r="T203" t="s">
        <v>736</v>
      </c>
      <c r="U203" s="3">
        <f>Table4[[#This Row],[time_out]]-Table4[[#This Row],[time_in]]</f>
        <v>0</v>
      </c>
    </row>
    <row r="204" spans="1:21" x14ac:dyDescent="0.3">
      <c r="A204">
        <v>46005</v>
      </c>
      <c r="B204" s="3">
        <v>0.51458333333333328</v>
      </c>
      <c r="C204" s="3">
        <v>0.51458333333333328</v>
      </c>
      <c r="D204" t="s">
        <v>499</v>
      </c>
      <c r="E204" t="s">
        <v>331</v>
      </c>
      <c r="F204" t="str">
        <f>LEFT(Table4[[#This Row],[direction]],1)</f>
        <v>a</v>
      </c>
      <c r="G204" t="s">
        <v>642</v>
      </c>
      <c r="H204" t="s">
        <v>134</v>
      </c>
      <c r="J204" s="14" t="s">
        <v>645</v>
      </c>
      <c r="K204" t="s">
        <v>500</v>
      </c>
      <c r="L204">
        <f>IFERROR(LEFT(Table4[[#This Row],[route_codes]],FIND(";",Table4[[#This Row],[route_codes]])-1),Table4[[#This Row],[route_codes]])</f>
        <v>0</v>
      </c>
      <c r="O204" t="str">
        <f>IFERROR(LEFT(Table4[[#This Row],[point_codes]],FIND(";",Table4[[#This Row],[point_codes]])-1),Table4[[#This Row],[point_codes]])</f>
        <v>B-5</v>
      </c>
      <c r="P204" t="s">
        <v>766</v>
      </c>
      <c r="Q204">
        <f>IF(ISBLANK(Table4[[#This Row],[point_codes]]), "", LEN(Table4[[#This Row],[point_codes]])-LEN(SUBSTITUTE(Table4[[#This Row],[point_codes]],";",""))+1)</f>
        <v>1</v>
      </c>
      <c r="R204" t="s">
        <v>501</v>
      </c>
      <c r="T204" t="s">
        <v>735</v>
      </c>
      <c r="U204" s="3">
        <f>Table4[[#This Row],[time_out]]-Table4[[#This Row],[time_in]]</f>
        <v>0</v>
      </c>
    </row>
    <row r="205" spans="1:21" x14ac:dyDescent="0.3">
      <c r="A205">
        <v>46005</v>
      </c>
      <c r="B205" s="3">
        <v>0.51249999999999996</v>
      </c>
      <c r="C205" s="3">
        <v>0.51388888888888884</v>
      </c>
      <c r="D205" t="s">
        <v>499</v>
      </c>
      <c r="E205" t="s">
        <v>331</v>
      </c>
      <c r="F205" t="str">
        <f>LEFT(Table4[[#This Row],[direction]],1)</f>
        <v>a</v>
      </c>
      <c r="G205" t="s">
        <v>642</v>
      </c>
      <c r="H205" t="s">
        <v>134</v>
      </c>
      <c r="J205" s="14" t="s">
        <v>312</v>
      </c>
      <c r="K205" t="s">
        <v>502</v>
      </c>
      <c r="L205" t="str">
        <f>IFERROR(LEFT(Table4[[#This Row],[route_codes]],FIND(";",Table4[[#This Row],[route_codes]])-1),Table4[[#This Row],[route_codes]])</f>
        <v>B-d</v>
      </c>
      <c r="M205" t="s">
        <v>765</v>
      </c>
      <c r="O205" t="str">
        <f>IFERROR(LEFT(Table4[[#This Row],[point_codes]],FIND(";",Table4[[#This Row],[point_codes]])-1),Table4[[#This Row],[point_codes]])</f>
        <v>B-6</v>
      </c>
      <c r="P205" t="s">
        <v>860</v>
      </c>
      <c r="Q205">
        <f>IF(ISBLANK(Table4[[#This Row],[point_codes]]), "", LEN(Table4[[#This Row],[point_codes]])-LEN(SUBSTITUTE(Table4[[#This Row],[point_codes]],";",""))+1)</f>
        <v>3</v>
      </c>
      <c r="R205" t="s">
        <v>503</v>
      </c>
      <c r="T205" t="s">
        <v>734</v>
      </c>
      <c r="U205" s="3">
        <f>Table4[[#This Row],[time_out]]-Table4[[#This Row],[time_in]]</f>
        <v>1.388888888888884E-3</v>
      </c>
    </row>
    <row r="206" spans="1:21" x14ac:dyDescent="0.3">
      <c r="A206">
        <v>46005</v>
      </c>
      <c r="B206" s="3">
        <v>0.50624999999999998</v>
      </c>
      <c r="C206" s="3"/>
      <c r="D206" t="s">
        <v>499</v>
      </c>
      <c r="E206" t="s">
        <v>331</v>
      </c>
      <c r="F206" t="str">
        <f>LEFT(Table4[[#This Row],[direction]],1)</f>
        <v>b</v>
      </c>
      <c r="G206" t="s">
        <v>646</v>
      </c>
      <c r="H206" t="s">
        <v>643</v>
      </c>
      <c r="J206" s="14" t="s">
        <v>645</v>
      </c>
      <c r="K206" t="s">
        <v>504</v>
      </c>
      <c r="L206" t="str">
        <f>IFERROR(LEFT(Table4[[#This Row],[route_codes]],FIND(";",Table4[[#This Row],[route_codes]])-1),Table4[[#This Row],[route_codes]])</f>
        <v>B-a</v>
      </c>
      <c r="M206" t="s">
        <v>755</v>
      </c>
      <c r="O206" t="str">
        <f>IFERROR(LEFT(Table4[[#This Row],[point_codes]],FIND(";",Table4[[#This Row],[point_codes]])-1),Table4[[#This Row],[point_codes]])</f>
        <v>B-3</v>
      </c>
      <c r="P206" t="s">
        <v>861</v>
      </c>
      <c r="Q206">
        <f>IF(ISBLANK(Table4[[#This Row],[point_codes]]), "", LEN(Table4[[#This Row],[point_codes]])-LEN(SUBSTITUTE(Table4[[#This Row],[point_codes]],";",""))+1)</f>
        <v>3</v>
      </c>
      <c r="R206" t="s">
        <v>505</v>
      </c>
      <c r="T206" t="s">
        <v>734</v>
      </c>
      <c r="U206" s="3">
        <f>Table4[[#This Row],[time_out]]-Table4[[#This Row],[time_in]]</f>
        <v>-0.50624999999999998</v>
      </c>
    </row>
    <row r="207" spans="1:21" x14ac:dyDescent="0.3">
      <c r="A207">
        <v>46005</v>
      </c>
      <c r="B207" s="3">
        <v>0.50555555555555554</v>
      </c>
      <c r="C207" s="3">
        <v>0.50624999999999998</v>
      </c>
      <c r="D207" t="s">
        <v>499</v>
      </c>
      <c r="E207" t="s">
        <v>331</v>
      </c>
      <c r="F207" t="str">
        <f>LEFT(Table4[[#This Row],[direction]],1)</f>
        <v>b</v>
      </c>
      <c r="G207" t="s">
        <v>646</v>
      </c>
      <c r="H207" t="s">
        <v>490</v>
      </c>
      <c r="J207" s="14" t="s">
        <v>644</v>
      </c>
      <c r="K207" t="s">
        <v>507</v>
      </c>
      <c r="L207">
        <f>IFERROR(LEFT(Table4[[#This Row],[route_codes]],FIND(";",Table4[[#This Row],[route_codes]])-1),Table4[[#This Row],[route_codes]])</f>
        <v>0</v>
      </c>
      <c r="O207">
        <f>IFERROR(LEFT(Table4[[#This Row],[point_codes]],FIND(";",Table4[[#This Row],[point_codes]])-1),Table4[[#This Row],[point_codes]])</f>
        <v>0</v>
      </c>
      <c r="Q207" t="str">
        <f>IF(ISBLANK(Table4[[#This Row],[point_codes]]), "", LEN(Table4[[#This Row],[point_codes]])-LEN(SUBSTITUTE(Table4[[#This Row],[point_codes]],";",""))+1)</f>
        <v/>
      </c>
      <c r="R207" t="s">
        <v>26</v>
      </c>
      <c r="S207" t="s">
        <v>508</v>
      </c>
      <c r="T207" t="s">
        <v>736</v>
      </c>
      <c r="U207" s="3">
        <f>Table4[[#This Row],[time_out]]-Table4[[#This Row],[time_in]]</f>
        <v>6.9444444444444198E-4</v>
      </c>
    </row>
    <row r="208" spans="1:21" x14ac:dyDescent="0.3">
      <c r="A208">
        <v>46005</v>
      </c>
      <c r="B208" s="3">
        <v>0.49722222222222223</v>
      </c>
      <c r="C208" s="3">
        <v>0.50486111111111109</v>
      </c>
      <c r="D208" t="s">
        <v>499</v>
      </c>
      <c r="E208" t="s">
        <v>331</v>
      </c>
      <c r="F208" t="str">
        <f>LEFT(Table4[[#This Row],[direction]],1)</f>
        <v>a</v>
      </c>
      <c r="G208" t="s">
        <v>642</v>
      </c>
      <c r="H208" t="s">
        <v>643</v>
      </c>
      <c r="J208" s="14" t="s">
        <v>645</v>
      </c>
      <c r="K208" t="s">
        <v>509</v>
      </c>
      <c r="L208" t="str">
        <f>IFERROR(LEFT(Table4[[#This Row],[route_codes]],FIND(";",Table4[[#This Row],[route_codes]])-1),Table4[[#This Row],[route_codes]])</f>
        <v>B-d</v>
      </c>
      <c r="M208" t="s">
        <v>862</v>
      </c>
      <c r="O208" t="str">
        <f>IFERROR(LEFT(Table4[[#This Row],[point_codes]],FIND(";",Table4[[#This Row],[point_codes]])-1),Table4[[#This Row],[point_codes]])</f>
        <v>B-5</v>
      </c>
      <c r="P208" t="s">
        <v>863</v>
      </c>
      <c r="Q208">
        <f>IF(ISBLANK(Table4[[#This Row],[point_codes]]), "", LEN(Table4[[#This Row],[point_codes]])-LEN(SUBSTITUTE(Table4[[#This Row],[point_codes]],";",""))+1)</f>
        <v>8</v>
      </c>
      <c r="R208" t="s">
        <v>510</v>
      </c>
      <c r="T208" t="s">
        <v>734</v>
      </c>
      <c r="U208" s="3">
        <f>Table4[[#This Row],[time_out]]-Table4[[#This Row],[time_in]]</f>
        <v>7.6388888888888618E-3</v>
      </c>
    </row>
    <row r="209" spans="1:21" x14ac:dyDescent="0.3">
      <c r="A209">
        <v>46005</v>
      </c>
      <c r="B209" s="3">
        <v>0.49236111111111114</v>
      </c>
      <c r="C209" s="3">
        <v>0.49305555555555558</v>
      </c>
      <c r="D209" t="s">
        <v>499</v>
      </c>
      <c r="E209" t="s">
        <v>331</v>
      </c>
      <c r="F209" t="str">
        <f>LEFT(Table4[[#This Row],[direction]],1)</f>
        <v>a</v>
      </c>
      <c r="G209" t="s">
        <v>642</v>
      </c>
      <c r="H209" t="s">
        <v>134</v>
      </c>
      <c r="J209" s="14" t="s">
        <v>645</v>
      </c>
      <c r="K209" t="s">
        <v>511</v>
      </c>
      <c r="L209">
        <f>IFERROR(LEFT(Table4[[#This Row],[route_codes]],FIND(";",Table4[[#This Row],[route_codes]])-1),Table4[[#This Row],[route_codes]])</f>
        <v>0</v>
      </c>
      <c r="O209" t="str">
        <f>IFERROR(LEFT(Table4[[#This Row],[point_codes]],FIND(";",Table4[[#This Row],[point_codes]])-1),Table4[[#This Row],[point_codes]])</f>
        <v>B-11</v>
      </c>
      <c r="P209" t="s">
        <v>864</v>
      </c>
      <c r="Q209">
        <f>IF(ISBLANK(Table4[[#This Row],[point_codes]]), "", LEN(Table4[[#This Row],[point_codes]])-LEN(SUBSTITUTE(Table4[[#This Row],[point_codes]],";",""))+1)</f>
        <v>3</v>
      </c>
      <c r="R209" t="s">
        <v>512</v>
      </c>
      <c r="T209" t="s">
        <v>735</v>
      </c>
      <c r="U209" s="3">
        <f>Table4[[#This Row],[time_out]]-Table4[[#This Row],[time_in]]</f>
        <v>6.9444444444444198E-4</v>
      </c>
    </row>
    <row r="210" spans="1:21" x14ac:dyDescent="0.3">
      <c r="A210">
        <v>46005</v>
      </c>
      <c r="B210" s="3">
        <v>0.4861111111111111</v>
      </c>
      <c r="C210" s="3">
        <v>0.48888888888888887</v>
      </c>
      <c r="D210" t="s">
        <v>499</v>
      </c>
      <c r="E210" t="s">
        <v>331</v>
      </c>
      <c r="F210" t="str">
        <f>LEFT(Table4[[#This Row],[direction]],1)</f>
        <v>a</v>
      </c>
      <c r="G210" t="s">
        <v>642</v>
      </c>
      <c r="H210" t="s">
        <v>643</v>
      </c>
      <c r="J210" s="14" t="s">
        <v>645</v>
      </c>
      <c r="K210" t="s">
        <v>513</v>
      </c>
      <c r="L210" t="str">
        <f>IFERROR(LEFT(Table4[[#This Row],[route_codes]],FIND(";",Table4[[#This Row],[route_codes]])-1),Table4[[#This Row],[route_codes]])</f>
        <v>B-d</v>
      </c>
      <c r="M210" t="s">
        <v>765</v>
      </c>
      <c r="O210" t="str">
        <f>IFERROR(LEFT(Table4[[#This Row],[point_codes]],FIND(";",Table4[[#This Row],[point_codes]])-1),Table4[[#This Row],[point_codes]])</f>
        <v>B-13</v>
      </c>
      <c r="P210" t="s">
        <v>865</v>
      </c>
      <c r="Q210">
        <f>IF(ISBLANK(Table4[[#This Row],[point_codes]]), "", LEN(Table4[[#This Row],[point_codes]])-LEN(SUBSTITUTE(Table4[[#This Row],[point_codes]],";",""))+1)</f>
        <v>4</v>
      </c>
      <c r="R210" t="s">
        <v>514</v>
      </c>
      <c r="T210" t="s">
        <v>734</v>
      </c>
      <c r="U210" s="3">
        <f>Table4[[#This Row],[time_out]]-Table4[[#This Row],[time_in]]</f>
        <v>2.7777777777777679E-3</v>
      </c>
    </row>
    <row r="211" spans="1:21" x14ac:dyDescent="0.3">
      <c r="A211">
        <v>46005</v>
      </c>
      <c r="B211" s="3">
        <v>0.47986111111111113</v>
      </c>
      <c r="C211" s="3">
        <v>0.48125000000000001</v>
      </c>
      <c r="D211" t="s">
        <v>499</v>
      </c>
      <c r="E211" t="s">
        <v>331</v>
      </c>
      <c r="F211" t="str">
        <f>LEFT(Table4[[#This Row],[direction]],1)</f>
        <v>a</v>
      </c>
      <c r="G211" t="s">
        <v>642</v>
      </c>
      <c r="H211" t="s">
        <v>490</v>
      </c>
      <c r="J211" s="14" t="s">
        <v>644</v>
      </c>
      <c r="K211" t="s">
        <v>516</v>
      </c>
      <c r="L211">
        <f>IFERROR(LEFT(Table4[[#This Row],[route_codes]],FIND(";",Table4[[#This Row],[route_codes]])-1),Table4[[#This Row],[route_codes]])</f>
        <v>0</v>
      </c>
      <c r="O211" t="str">
        <f>IFERROR(LEFT(Table4[[#This Row],[point_codes]],FIND(";",Table4[[#This Row],[point_codes]])-1),Table4[[#This Row],[point_codes]])</f>
        <v>B-7</v>
      </c>
      <c r="P211" t="s">
        <v>866</v>
      </c>
      <c r="Q211">
        <f>IF(ISBLANK(Table4[[#This Row],[point_codes]]), "", LEN(Table4[[#This Row],[point_codes]])-LEN(SUBSTITUTE(Table4[[#This Row],[point_codes]],";",""))+1)</f>
        <v>3</v>
      </c>
      <c r="R211" t="s">
        <v>517</v>
      </c>
      <c r="T211" t="s">
        <v>734</v>
      </c>
      <c r="U211" s="3">
        <f>Table4[[#This Row],[time_out]]-Table4[[#This Row],[time_in]]</f>
        <v>1.388888888888884E-3</v>
      </c>
    </row>
    <row r="212" spans="1:21" x14ac:dyDescent="0.3">
      <c r="A212">
        <v>46005</v>
      </c>
      <c r="B212" s="3">
        <v>0.47847222222222224</v>
      </c>
      <c r="C212" s="3">
        <v>0.47916666666666669</v>
      </c>
      <c r="D212" t="s">
        <v>499</v>
      </c>
      <c r="E212" t="s">
        <v>331</v>
      </c>
      <c r="F212" t="str">
        <f>LEFT(Table4[[#This Row],[direction]],1)</f>
        <v>b</v>
      </c>
      <c r="G212" t="s">
        <v>646</v>
      </c>
      <c r="H212" t="s">
        <v>490</v>
      </c>
      <c r="J212" s="14" t="s">
        <v>644</v>
      </c>
      <c r="K212" t="s">
        <v>519</v>
      </c>
      <c r="L212">
        <f>IFERROR(LEFT(Table4[[#This Row],[route_codes]],FIND(";",Table4[[#This Row],[route_codes]])-1),Table4[[#This Row],[route_codes]])</f>
        <v>0</v>
      </c>
      <c r="O212" t="str">
        <f>IFERROR(LEFT(Table4[[#This Row],[point_codes]],FIND(";",Table4[[#This Row],[point_codes]])-1),Table4[[#This Row],[point_codes]])</f>
        <v>B-9</v>
      </c>
      <c r="P212" t="s">
        <v>867</v>
      </c>
      <c r="Q212">
        <f>IF(ISBLANK(Table4[[#This Row],[point_codes]]), "", LEN(Table4[[#This Row],[point_codes]])-LEN(SUBSTITUTE(Table4[[#This Row],[point_codes]],";",""))+1)</f>
        <v>3</v>
      </c>
      <c r="R212" t="s">
        <v>520</v>
      </c>
      <c r="T212" t="s">
        <v>734</v>
      </c>
      <c r="U212" s="3">
        <f>Table4[[#This Row],[time_out]]-Table4[[#This Row],[time_in]]</f>
        <v>6.9444444444444198E-4</v>
      </c>
    </row>
    <row r="213" spans="1:21" x14ac:dyDescent="0.3">
      <c r="A213">
        <v>46005</v>
      </c>
      <c r="B213" s="3">
        <v>0.47361111111111109</v>
      </c>
      <c r="C213" s="3">
        <v>0.47361111111111109</v>
      </c>
      <c r="D213" t="s">
        <v>499</v>
      </c>
      <c r="E213" t="s">
        <v>331</v>
      </c>
      <c r="F213" t="str">
        <f>LEFT(Table4[[#This Row],[direction]],1)</f>
        <v>b</v>
      </c>
      <c r="G213" t="s">
        <v>646</v>
      </c>
      <c r="H213" t="s">
        <v>490</v>
      </c>
      <c r="J213" s="14" t="s">
        <v>644</v>
      </c>
      <c r="K213" t="s">
        <v>522</v>
      </c>
      <c r="L213">
        <f>IFERROR(LEFT(Table4[[#This Row],[route_codes]],FIND(";",Table4[[#This Row],[route_codes]])-1),Table4[[#This Row],[route_codes]])</f>
        <v>0</v>
      </c>
      <c r="O213">
        <f>IFERROR(LEFT(Table4[[#This Row],[point_codes]],FIND(";",Table4[[#This Row],[point_codes]])-1),Table4[[#This Row],[point_codes]])</f>
        <v>0</v>
      </c>
      <c r="Q213" t="str">
        <f>IF(ISBLANK(Table4[[#This Row],[point_codes]]), "", LEN(Table4[[#This Row],[point_codes]])-LEN(SUBSTITUTE(Table4[[#This Row],[point_codes]],";",""))+1)</f>
        <v/>
      </c>
      <c r="R213" t="s">
        <v>26</v>
      </c>
      <c r="T213" t="s">
        <v>736</v>
      </c>
      <c r="U213" s="3">
        <f>Table4[[#This Row],[time_out]]-Table4[[#This Row],[time_in]]</f>
        <v>0</v>
      </c>
    </row>
    <row r="214" spans="1:21" x14ac:dyDescent="0.3">
      <c r="A214">
        <v>46008</v>
      </c>
      <c r="B214" s="3">
        <v>0.47430555555555554</v>
      </c>
      <c r="C214" s="3">
        <v>0.47499999999999998</v>
      </c>
      <c r="D214" t="s">
        <v>15</v>
      </c>
      <c r="E214" t="s">
        <v>331</v>
      </c>
      <c r="F214" t="str">
        <f>LEFT(Table4[[#This Row],[direction]],1)</f>
        <v>a</v>
      </c>
      <c r="G214" t="s">
        <v>642</v>
      </c>
      <c r="H214" t="s">
        <v>643</v>
      </c>
      <c r="J214" s="14" t="s">
        <v>645</v>
      </c>
      <c r="K214" t="s">
        <v>523</v>
      </c>
      <c r="L214" t="str">
        <f>IFERROR(LEFT(Table4[[#This Row],[route_codes]],FIND(";",Table4[[#This Row],[route_codes]])-1),Table4[[#This Row],[route_codes]])</f>
        <v>B-d</v>
      </c>
      <c r="M214" t="s">
        <v>765</v>
      </c>
      <c r="O214" t="str">
        <f>IFERROR(LEFT(Table4[[#This Row],[point_codes]],FIND(";",Table4[[#This Row],[point_codes]])-1),Table4[[#This Row],[point_codes]])</f>
        <v>B-13</v>
      </c>
      <c r="P214" t="s">
        <v>868</v>
      </c>
      <c r="Q214">
        <f>IF(ISBLANK(Table4[[#This Row],[point_codes]]), "", LEN(Table4[[#This Row],[point_codes]])-LEN(SUBSTITUTE(Table4[[#This Row],[point_codes]],";",""))+1)</f>
        <v>2</v>
      </c>
      <c r="R214" t="s">
        <v>524</v>
      </c>
      <c r="T214" t="s">
        <v>734</v>
      </c>
      <c r="U214" s="3">
        <f>Table4[[#This Row],[time_out]]-Table4[[#This Row],[time_in]]</f>
        <v>6.9444444444444198E-4</v>
      </c>
    </row>
    <row r="215" spans="1:21" x14ac:dyDescent="0.3">
      <c r="A215">
        <v>46008</v>
      </c>
      <c r="B215" s="3">
        <v>0.47291666666666665</v>
      </c>
      <c r="C215" s="3">
        <v>0.47361111111111109</v>
      </c>
      <c r="D215" t="s">
        <v>15</v>
      </c>
      <c r="E215" t="s">
        <v>331</v>
      </c>
      <c r="F215" t="str">
        <f>LEFT(Table4[[#This Row],[direction]],1)</f>
        <v>a</v>
      </c>
      <c r="G215" t="s">
        <v>642</v>
      </c>
      <c r="H215" t="s">
        <v>134</v>
      </c>
      <c r="I215" t="s">
        <v>525</v>
      </c>
      <c r="J215" s="14" t="s">
        <v>645</v>
      </c>
      <c r="K215" t="s">
        <v>526</v>
      </c>
      <c r="L215" t="str">
        <f>IFERROR(LEFT(Table4[[#This Row],[route_codes]],FIND(";",Table4[[#This Row],[route_codes]])-1),Table4[[#This Row],[route_codes]])</f>
        <v>B-c</v>
      </c>
      <c r="M215" t="s">
        <v>841</v>
      </c>
      <c r="O215" t="str">
        <f>IFERROR(LEFT(Table4[[#This Row],[point_codes]],FIND(";",Table4[[#This Row],[point_codes]])-1),Table4[[#This Row],[point_codes]])</f>
        <v>B-3</v>
      </c>
      <c r="P215" t="s">
        <v>829</v>
      </c>
      <c r="Q215">
        <f>IF(ISBLANK(Table4[[#This Row],[point_codes]]), "", LEN(Table4[[#This Row],[point_codes]])-LEN(SUBSTITUTE(Table4[[#This Row],[point_codes]],";",""))+1)</f>
        <v>1</v>
      </c>
      <c r="R215" t="s">
        <v>527</v>
      </c>
      <c r="T215" t="s">
        <v>734</v>
      </c>
      <c r="U215" s="3">
        <f>Table4[[#This Row],[time_out]]-Table4[[#This Row],[time_in]]</f>
        <v>6.9444444444444198E-4</v>
      </c>
    </row>
    <row r="216" spans="1:21" x14ac:dyDescent="0.3">
      <c r="A216">
        <v>46008</v>
      </c>
      <c r="B216" s="3">
        <v>0.47152777777777777</v>
      </c>
      <c r="C216" s="3">
        <v>0.47222222222222221</v>
      </c>
      <c r="D216" t="s">
        <v>15</v>
      </c>
      <c r="E216" t="s">
        <v>331</v>
      </c>
      <c r="F216" t="str">
        <f>LEFT(Table4[[#This Row],[direction]],1)</f>
        <v>a</v>
      </c>
      <c r="G216" t="s">
        <v>642</v>
      </c>
      <c r="H216" t="s">
        <v>134</v>
      </c>
      <c r="I216" t="s">
        <v>525</v>
      </c>
      <c r="J216" s="14" t="s">
        <v>645</v>
      </c>
      <c r="K216" t="s">
        <v>528</v>
      </c>
      <c r="L216" t="str">
        <f>IFERROR(LEFT(Table4[[#This Row],[route_codes]],FIND(";",Table4[[#This Row],[route_codes]])-1),Table4[[#This Row],[route_codes]])</f>
        <v>B-d</v>
      </c>
      <c r="M216" t="s">
        <v>765</v>
      </c>
      <c r="O216" t="str">
        <f>IFERROR(LEFT(Table4[[#This Row],[point_codes]],FIND(";",Table4[[#This Row],[point_codes]])-1),Table4[[#This Row],[point_codes]])</f>
        <v>B-5</v>
      </c>
      <c r="P216" t="s">
        <v>869</v>
      </c>
      <c r="Q216">
        <f>IF(ISBLANK(Table4[[#This Row],[point_codes]]), "", LEN(Table4[[#This Row],[point_codes]])-LEN(SUBSTITUTE(Table4[[#This Row],[point_codes]],";",""))+1)</f>
        <v>3</v>
      </c>
      <c r="R216" t="s">
        <v>529</v>
      </c>
      <c r="T216" t="s">
        <v>734</v>
      </c>
      <c r="U216" s="3">
        <f>Table4[[#This Row],[time_out]]-Table4[[#This Row],[time_in]]</f>
        <v>6.9444444444444198E-4</v>
      </c>
    </row>
    <row r="217" spans="1:21" x14ac:dyDescent="0.3">
      <c r="A217">
        <v>46008</v>
      </c>
      <c r="B217" s="3">
        <v>0.47013888888888888</v>
      </c>
      <c r="C217" s="3">
        <v>0.47152777777777777</v>
      </c>
      <c r="D217" t="s">
        <v>15</v>
      </c>
      <c r="E217" t="s">
        <v>331</v>
      </c>
      <c r="F217" t="str">
        <f>LEFT(Table4[[#This Row],[direction]],1)</f>
        <v>a</v>
      </c>
      <c r="G217" t="s">
        <v>642</v>
      </c>
      <c r="H217" t="s">
        <v>134</v>
      </c>
      <c r="I217" t="s">
        <v>525</v>
      </c>
      <c r="J217" s="14" t="s">
        <v>645</v>
      </c>
      <c r="K217" t="s">
        <v>530</v>
      </c>
      <c r="L217" t="str">
        <f>IFERROR(LEFT(Table4[[#This Row],[route_codes]],FIND(";",Table4[[#This Row],[route_codes]])-1),Table4[[#This Row],[route_codes]])</f>
        <v>B-c</v>
      </c>
      <c r="M217" t="s">
        <v>841</v>
      </c>
      <c r="O217" t="str">
        <f>IFERROR(LEFT(Table4[[#This Row],[point_codes]],FIND(";",Table4[[#This Row],[point_codes]])-1),Table4[[#This Row],[point_codes]])</f>
        <v>B-5</v>
      </c>
      <c r="P217" t="s">
        <v>870</v>
      </c>
      <c r="Q217">
        <f>IF(ISBLANK(Table4[[#This Row],[point_codes]]), "", LEN(Table4[[#This Row],[point_codes]])-LEN(SUBSTITUTE(Table4[[#This Row],[point_codes]],";",""))+1)</f>
        <v>3</v>
      </c>
      <c r="R217" t="s">
        <v>531</v>
      </c>
      <c r="T217" t="s">
        <v>734</v>
      </c>
      <c r="U217" s="3">
        <f>Table4[[#This Row],[time_out]]-Table4[[#This Row],[time_in]]</f>
        <v>1.388888888888884E-3</v>
      </c>
    </row>
    <row r="218" spans="1:21" x14ac:dyDescent="0.3">
      <c r="A218">
        <v>46008</v>
      </c>
      <c r="B218" s="3">
        <v>0.47499999999999998</v>
      </c>
      <c r="C218" s="3">
        <v>0.47499999999999998</v>
      </c>
      <c r="D218" t="s">
        <v>15</v>
      </c>
      <c r="E218" t="s">
        <v>331</v>
      </c>
      <c r="F218" t="str">
        <f>LEFT(Table4[[#This Row],[direction]],1)</f>
        <v>b</v>
      </c>
      <c r="G218" t="s">
        <v>646</v>
      </c>
      <c r="H218" t="s">
        <v>643</v>
      </c>
      <c r="I218" t="s">
        <v>532</v>
      </c>
      <c r="J218" s="14" t="s">
        <v>645</v>
      </c>
      <c r="K218" t="s">
        <v>533</v>
      </c>
      <c r="L218">
        <f>IFERROR(LEFT(Table4[[#This Row],[route_codes]],FIND(";",Table4[[#This Row],[route_codes]])-1),Table4[[#This Row],[route_codes]])</f>
        <v>0</v>
      </c>
      <c r="O218">
        <f>IFERROR(LEFT(Table4[[#This Row],[point_codes]],FIND(";",Table4[[#This Row],[point_codes]])-1),Table4[[#This Row],[point_codes]])</f>
        <v>0</v>
      </c>
      <c r="Q218" t="str">
        <f>IF(ISBLANK(Table4[[#This Row],[point_codes]]), "", LEN(Table4[[#This Row],[point_codes]])-LEN(SUBSTITUTE(Table4[[#This Row],[point_codes]],";",""))+1)</f>
        <v/>
      </c>
      <c r="R218" t="s">
        <v>534</v>
      </c>
      <c r="T218" t="s">
        <v>736</v>
      </c>
      <c r="U218" s="3">
        <f>Table4[[#This Row],[time_out]]-Table4[[#This Row],[time_in]]</f>
        <v>0</v>
      </c>
    </row>
    <row r="219" spans="1:21" x14ac:dyDescent="0.3">
      <c r="A219">
        <v>46008</v>
      </c>
      <c r="B219" s="3">
        <v>0.47638888888888886</v>
      </c>
      <c r="C219" s="3">
        <v>0.4777777777777778</v>
      </c>
      <c r="D219" t="s">
        <v>15</v>
      </c>
      <c r="E219" t="s">
        <v>331</v>
      </c>
      <c r="F219" t="str">
        <f>LEFT(Table4[[#This Row],[direction]],1)</f>
        <v>a</v>
      </c>
      <c r="G219" t="s">
        <v>642</v>
      </c>
      <c r="H219" t="s">
        <v>134</v>
      </c>
      <c r="I219" t="s">
        <v>525</v>
      </c>
      <c r="J219" s="14" t="s">
        <v>312</v>
      </c>
      <c r="K219" t="s">
        <v>535</v>
      </c>
      <c r="L219">
        <f>IFERROR(LEFT(Table4[[#This Row],[route_codes]],FIND(";",Table4[[#This Row],[route_codes]])-1),Table4[[#This Row],[route_codes]])</f>
        <v>0</v>
      </c>
      <c r="N219" t="s">
        <v>841</v>
      </c>
      <c r="O219" t="str">
        <f>IFERROR(LEFT(Table4[[#This Row],[point_codes]],FIND(";",Table4[[#This Row],[point_codes]])-1),Table4[[#This Row],[point_codes]])</f>
        <v>B-7</v>
      </c>
      <c r="P219" t="s">
        <v>871</v>
      </c>
      <c r="Q219">
        <f>IF(ISBLANK(Table4[[#This Row],[point_codes]]), "", LEN(Table4[[#This Row],[point_codes]])-LEN(SUBSTITUTE(Table4[[#This Row],[point_codes]],";",""))+1)</f>
        <v>3</v>
      </c>
      <c r="R219" t="s">
        <v>536</v>
      </c>
      <c r="S219" t="s">
        <v>537</v>
      </c>
      <c r="T219" t="s">
        <v>734</v>
      </c>
      <c r="U219" s="3">
        <f>Table4[[#This Row],[time_out]]-Table4[[#This Row],[time_in]]</f>
        <v>1.3888888888889395E-3</v>
      </c>
    </row>
    <row r="220" spans="1:21" x14ac:dyDescent="0.3">
      <c r="A220">
        <v>46008</v>
      </c>
      <c r="B220" s="3">
        <v>0.48472222222222222</v>
      </c>
      <c r="C220" s="3">
        <v>0.48958333333333331</v>
      </c>
      <c r="D220" t="s">
        <v>15</v>
      </c>
      <c r="E220" t="s">
        <v>331</v>
      </c>
      <c r="F220" t="str">
        <f>LEFT(Table4[[#This Row],[direction]],1)</f>
        <v>b</v>
      </c>
      <c r="G220" t="s">
        <v>646</v>
      </c>
      <c r="H220" t="s">
        <v>134</v>
      </c>
      <c r="I220" t="s">
        <v>494</v>
      </c>
      <c r="J220" s="14" t="s">
        <v>312</v>
      </c>
      <c r="K220" t="s">
        <v>538</v>
      </c>
      <c r="L220" t="str">
        <f>IFERROR(LEFT(Table4[[#This Row],[route_codes]],FIND(";",Table4[[#This Row],[route_codes]])-1),Table4[[#This Row],[route_codes]])</f>
        <v>B-a</v>
      </c>
      <c r="M220" t="s">
        <v>872</v>
      </c>
      <c r="O220" t="str">
        <f>IFERROR(LEFT(Table4[[#This Row],[point_codes]],FIND(";",Table4[[#This Row],[point_codes]])-1),Table4[[#This Row],[point_codes]])</f>
        <v>B-1</v>
      </c>
      <c r="P220" t="s">
        <v>873</v>
      </c>
      <c r="Q220">
        <f>IF(ISBLANK(Table4[[#This Row],[point_codes]]), "", LEN(Table4[[#This Row],[point_codes]])-LEN(SUBSTITUTE(Table4[[#This Row],[point_codes]],";",""))+1)</f>
        <v>6</v>
      </c>
      <c r="R220" t="s">
        <v>539</v>
      </c>
      <c r="T220" t="s">
        <v>734</v>
      </c>
      <c r="U220" s="3">
        <f>Table4[[#This Row],[time_out]]-Table4[[#This Row],[time_in]]</f>
        <v>4.8611111111110938E-3</v>
      </c>
    </row>
    <row r="221" spans="1:21" x14ac:dyDescent="0.3">
      <c r="A221">
        <v>46008</v>
      </c>
      <c r="B221" s="3">
        <v>0.48402777777777778</v>
      </c>
      <c r="C221" s="3">
        <v>0.48472222222222222</v>
      </c>
      <c r="D221" t="s">
        <v>15</v>
      </c>
      <c r="E221" t="s">
        <v>331</v>
      </c>
      <c r="F221" t="str">
        <f>LEFT(Table4[[#This Row],[direction]],1)</f>
        <v>b</v>
      </c>
      <c r="G221" t="s">
        <v>646</v>
      </c>
      <c r="H221" t="s">
        <v>490</v>
      </c>
      <c r="I221" t="s">
        <v>541</v>
      </c>
      <c r="J221" s="14" t="b">
        <v>0</v>
      </c>
      <c r="K221" t="s">
        <v>542</v>
      </c>
      <c r="L221" t="str">
        <f>IFERROR(LEFT(Table4[[#This Row],[route_codes]],FIND(";",Table4[[#This Row],[route_codes]])-1),Table4[[#This Row],[route_codes]])</f>
        <v>B-b</v>
      </c>
      <c r="M221" t="s">
        <v>758</v>
      </c>
      <c r="O221" t="str">
        <f>IFERROR(LEFT(Table4[[#This Row],[point_codes]],FIND(";",Table4[[#This Row],[point_codes]])-1),Table4[[#This Row],[point_codes]])</f>
        <v>B-2</v>
      </c>
      <c r="P221" t="s">
        <v>874</v>
      </c>
      <c r="Q221">
        <f>IF(ISBLANK(Table4[[#This Row],[point_codes]]), "", LEN(Table4[[#This Row],[point_codes]])-LEN(SUBSTITUTE(Table4[[#This Row],[point_codes]],";",""))+1)</f>
        <v>2</v>
      </c>
      <c r="R221" t="s">
        <v>543</v>
      </c>
      <c r="S221" t="s">
        <v>544</v>
      </c>
      <c r="T221" t="s">
        <v>734</v>
      </c>
      <c r="U221" s="3">
        <f>Table4[[#This Row],[time_out]]-Table4[[#This Row],[time_in]]</f>
        <v>6.9444444444444198E-4</v>
      </c>
    </row>
    <row r="222" spans="1:21" x14ac:dyDescent="0.3">
      <c r="A222">
        <v>46008</v>
      </c>
      <c r="B222" s="3">
        <v>0.48472222222222222</v>
      </c>
      <c r="C222" s="3">
        <v>0.4861111111111111</v>
      </c>
      <c r="D222" t="s">
        <v>15</v>
      </c>
      <c r="E222" t="s">
        <v>331</v>
      </c>
      <c r="F222" t="str">
        <f>LEFT(Table4[[#This Row],[direction]],1)</f>
        <v>a</v>
      </c>
      <c r="G222" t="s">
        <v>642</v>
      </c>
      <c r="H222" t="s">
        <v>134</v>
      </c>
      <c r="I222" t="s">
        <v>545</v>
      </c>
      <c r="J222" s="14" t="s">
        <v>644</v>
      </c>
      <c r="K222" t="s">
        <v>546</v>
      </c>
      <c r="L222" t="str">
        <f>IFERROR(LEFT(Table4[[#This Row],[route_codes]],FIND(";",Table4[[#This Row],[route_codes]])-1),Table4[[#This Row],[route_codes]])</f>
        <v>B-c</v>
      </c>
      <c r="M222" t="s">
        <v>841</v>
      </c>
      <c r="O222" t="str">
        <f>IFERROR(LEFT(Table4[[#This Row],[point_codes]],FIND(";",Table4[[#This Row],[point_codes]])-1),Table4[[#This Row],[point_codes]])</f>
        <v>B-7</v>
      </c>
      <c r="P222" t="s">
        <v>875</v>
      </c>
      <c r="Q222">
        <f>IF(ISBLANK(Table4[[#This Row],[point_codes]]), "", LEN(Table4[[#This Row],[point_codes]])-LEN(SUBSTITUTE(Table4[[#This Row],[point_codes]],";",""))+1)</f>
        <v>3</v>
      </c>
      <c r="R222" t="s">
        <v>547</v>
      </c>
      <c r="T222" t="s">
        <v>734</v>
      </c>
      <c r="U222" s="3">
        <f>Table4[[#This Row],[time_out]]-Table4[[#This Row],[time_in]]</f>
        <v>1.388888888888884E-3</v>
      </c>
    </row>
    <row r="223" spans="1:21" x14ac:dyDescent="0.3">
      <c r="A223">
        <v>46008</v>
      </c>
      <c r="B223" s="3">
        <v>0.52500000000000002</v>
      </c>
      <c r="C223" s="3">
        <v>0.52916666666666667</v>
      </c>
      <c r="D223" t="s">
        <v>15</v>
      </c>
      <c r="E223" t="s">
        <v>331</v>
      </c>
      <c r="F223" t="str">
        <f>LEFT(Table4[[#This Row],[direction]],1)</f>
        <v>a</v>
      </c>
      <c r="G223" t="s">
        <v>642</v>
      </c>
      <c r="H223" t="s">
        <v>134</v>
      </c>
      <c r="I223" t="s">
        <v>548</v>
      </c>
      <c r="J223" s="14" t="s">
        <v>645</v>
      </c>
      <c r="K223" t="s">
        <v>549</v>
      </c>
      <c r="L223" t="str">
        <f>IFERROR(LEFT(Table4[[#This Row],[route_codes]],FIND(";",Table4[[#This Row],[route_codes]])-1),Table4[[#This Row],[route_codes]])</f>
        <v>B-c</v>
      </c>
      <c r="M223" t="s">
        <v>876</v>
      </c>
      <c r="O223" t="str">
        <f>IFERROR(LEFT(Table4[[#This Row],[point_codes]],FIND(";",Table4[[#This Row],[point_codes]])-1),Table4[[#This Row],[point_codes]])</f>
        <v>B-5</v>
      </c>
      <c r="P223" t="s">
        <v>877</v>
      </c>
      <c r="Q223">
        <f>IF(ISBLANK(Table4[[#This Row],[point_codes]]), "", LEN(Table4[[#This Row],[point_codes]])-LEN(SUBSTITUTE(Table4[[#This Row],[point_codes]],";",""))+1)</f>
        <v>6</v>
      </c>
      <c r="R223" t="s">
        <v>550</v>
      </c>
      <c r="S223" t="s">
        <v>551</v>
      </c>
      <c r="T223" t="s">
        <v>734</v>
      </c>
      <c r="U223" s="3">
        <f>Table4[[#This Row],[time_out]]-Table4[[#This Row],[time_in]]</f>
        <v>4.1666666666666519E-3</v>
      </c>
    </row>
    <row r="224" spans="1:21" x14ac:dyDescent="0.3">
      <c r="A224">
        <v>46008</v>
      </c>
      <c r="B224" s="3">
        <v>0.52361111111111114</v>
      </c>
      <c r="C224" s="3">
        <v>0.52569444444444446</v>
      </c>
      <c r="D224" t="s">
        <v>15</v>
      </c>
      <c r="E224" t="s">
        <v>331</v>
      </c>
      <c r="F224" t="str">
        <f>LEFT(Table4[[#This Row],[direction]],1)</f>
        <v>a</v>
      </c>
      <c r="G224" t="s">
        <v>642</v>
      </c>
      <c r="H224" t="s">
        <v>134</v>
      </c>
      <c r="I224" t="s">
        <v>548</v>
      </c>
      <c r="J224" s="14" t="b">
        <v>0</v>
      </c>
      <c r="K224" t="s">
        <v>552</v>
      </c>
      <c r="L224" t="str">
        <f>IFERROR(LEFT(Table4[[#This Row],[route_codes]],FIND(";",Table4[[#This Row],[route_codes]])-1),Table4[[#This Row],[route_codes]])</f>
        <v>B-d</v>
      </c>
      <c r="M224" t="s">
        <v>765</v>
      </c>
      <c r="O224" t="str">
        <f>IFERROR(LEFT(Table4[[#This Row],[point_codes]],FIND(";",Table4[[#This Row],[point_codes]])-1),Table4[[#This Row],[point_codes]])</f>
        <v>B-4</v>
      </c>
      <c r="P224" t="s">
        <v>879</v>
      </c>
      <c r="Q224">
        <f>IF(ISBLANK(Table4[[#This Row],[point_codes]]), "", LEN(Table4[[#This Row],[point_codes]])-LEN(SUBSTITUTE(Table4[[#This Row],[point_codes]],";",""))+1)</f>
        <v>4</v>
      </c>
      <c r="R224" t="s">
        <v>553</v>
      </c>
      <c r="T224" t="s">
        <v>734</v>
      </c>
      <c r="U224" s="3">
        <f>Table4[[#This Row],[time_out]]-Table4[[#This Row],[time_in]]</f>
        <v>2.0833333333333259E-3</v>
      </c>
    </row>
    <row r="225" spans="1:21" x14ac:dyDescent="0.3">
      <c r="A225">
        <v>46008</v>
      </c>
      <c r="B225" s="3">
        <v>0.52083333333333337</v>
      </c>
      <c r="C225" s="3">
        <v>0.52152777777777781</v>
      </c>
      <c r="D225" t="s">
        <v>15</v>
      </c>
      <c r="E225" t="s">
        <v>331</v>
      </c>
      <c r="F225" t="str">
        <f>LEFT(Table4[[#This Row],[direction]],1)</f>
        <v>b</v>
      </c>
      <c r="G225" t="s">
        <v>646</v>
      </c>
      <c r="H225" t="s">
        <v>134</v>
      </c>
      <c r="I225" t="s">
        <v>554</v>
      </c>
      <c r="J225" s="14" t="s">
        <v>645</v>
      </c>
      <c r="K225" t="s">
        <v>555</v>
      </c>
      <c r="L225" t="str">
        <f>IFERROR(LEFT(Table4[[#This Row],[route_codes]],FIND(";",Table4[[#This Row],[route_codes]])-1),Table4[[#This Row],[route_codes]])</f>
        <v>B-b</v>
      </c>
      <c r="M225" t="s">
        <v>758</v>
      </c>
      <c r="O225" t="str">
        <f>IFERROR(LEFT(Table4[[#This Row],[point_codes]],FIND(";",Table4[[#This Row],[point_codes]])-1),Table4[[#This Row],[point_codes]])</f>
        <v>B-4</v>
      </c>
      <c r="P225" t="s">
        <v>831</v>
      </c>
      <c r="Q225">
        <f>IF(ISBLANK(Table4[[#This Row],[point_codes]]), "", LEN(Table4[[#This Row],[point_codes]])-LEN(SUBSTITUTE(Table4[[#This Row],[point_codes]],";",""))+1)</f>
        <v>2</v>
      </c>
      <c r="R225" t="s">
        <v>556</v>
      </c>
      <c r="T225" t="s">
        <v>734</v>
      </c>
      <c r="U225" s="3">
        <f>Table4[[#This Row],[time_out]]-Table4[[#This Row],[time_in]]</f>
        <v>6.9444444444444198E-4</v>
      </c>
    </row>
    <row r="226" spans="1:21" x14ac:dyDescent="0.3">
      <c r="A226">
        <v>46008</v>
      </c>
      <c r="B226" s="3">
        <v>0.51944444444444449</v>
      </c>
      <c r="C226" s="3">
        <v>0.52222222222222225</v>
      </c>
      <c r="D226" t="s">
        <v>15</v>
      </c>
      <c r="E226" t="s">
        <v>331</v>
      </c>
      <c r="F226" t="str">
        <f>LEFT(Table4[[#This Row],[direction]],1)</f>
        <v>a</v>
      </c>
      <c r="G226" t="s">
        <v>642</v>
      </c>
      <c r="H226" t="s">
        <v>643</v>
      </c>
      <c r="I226" t="s">
        <v>165</v>
      </c>
      <c r="J226" s="14" t="s">
        <v>645</v>
      </c>
      <c r="K226" t="s">
        <v>557</v>
      </c>
      <c r="L226">
        <f>IFERROR(LEFT(Table4[[#This Row],[route_codes]],FIND(";",Table4[[#This Row],[route_codes]])-1),Table4[[#This Row],[route_codes]])</f>
        <v>0</v>
      </c>
      <c r="O226" t="str">
        <f>IFERROR(LEFT(Table4[[#This Row],[point_codes]],FIND(";",Table4[[#This Row],[point_codes]])-1),Table4[[#This Row],[point_codes]])</f>
        <v>B-4</v>
      </c>
      <c r="P226" t="s">
        <v>880</v>
      </c>
      <c r="Q226">
        <f>IF(ISBLANK(Table4[[#This Row],[point_codes]]), "", LEN(Table4[[#This Row],[point_codes]])-LEN(SUBSTITUTE(Table4[[#This Row],[point_codes]],";",""))+1)</f>
        <v>3</v>
      </c>
      <c r="R226" t="s">
        <v>558</v>
      </c>
      <c r="T226" t="s">
        <v>734</v>
      </c>
      <c r="U226" s="3">
        <f>Table4[[#This Row],[time_out]]-Table4[[#This Row],[time_in]]</f>
        <v>2.7777777777777679E-3</v>
      </c>
    </row>
    <row r="227" spans="1:21" x14ac:dyDescent="0.3">
      <c r="A227" s="15">
        <v>46008</v>
      </c>
      <c r="B227" s="16">
        <v>0.5180555555555556</v>
      </c>
      <c r="C227" s="16">
        <v>0.52013888888888893</v>
      </c>
      <c r="D227" s="15" t="s">
        <v>15</v>
      </c>
      <c r="E227" s="15" t="s">
        <v>331</v>
      </c>
      <c r="F227" s="15" t="str">
        <f>LEFT(Table4[[#This Row],[direction]],1)</f>
        <v>u</v>
      </c>
      <c r="G227" s="15" t="s">
        <v>312</v>
      </c>
      <c r="H227" s="15" t="s">
        <v>643</v>
      </c>
      <c r="I227" s="15" t="s">
        <v>559</v>
      </c>
      <c r="J227" s="17" t="s">
        <v>645</v>
      </c>
      <c r="K227" s="15" t="s">
        <v>560</v>
      </c>
      <c r="L227" s="15" t="str">
        <f>IFERROR(LEFT(Table4[[#This Row],[route_codes]],FIND(";",Table4[[#This Row],[route_codes]])-1),Table4[[#This Row],[route_codes]])</f>
        <v>B-b</v>
      </c>
      <c r="M227" s="15" t="s">
        <v>758</v>
      </c>
      <c r="N227" s="15"/>
      <c r="O227" s="15" t="str">
        <f>IFERROR(LEFT(Table4[[#This Row],[point_codes]],FIND(";",Table4[[#This Row],[point_codes]])-1),Table4[[#This Row],[point_codes]])</f>
        <v>B-1</v>
      </c>
      <c r="P227" s="15" t="s">
        <v>881</v>
      </c>
      <c r="Q227" s="15">
        <f>IF(ISBLANK(Table4[[#This Row],[point_codes]]), "", LEN(Table4[[#This Row],[point_codes]])-LEN(SUBSTITUTE(Table4[[#This Row],[point_codes]],";",""))+1)</f>
        <v>4</v>
      </c>
      <c r="R227" s="15" t="s">
        <v>561</v>
      </c>
      <c r="S227" s="15"/>
      <c r="T227" s="15" t="s">
        <v>734</v>
      </c>
      <c r="U227" s="16">
        <f>Table4[[#This Row],[time_out]]-Table4[[#This Row],[time_in]]</f>
        <v>2.0833333333333259E-3</v>
      </c>
    </row>
    <row r="228" spans="1:21" x14ac:dyDescent="0.3">
      <c r="A228">
        <v>46008</v>
      </c>
      <c r="B228" s="3">
        <v>0.51736111111111116</v>
      </c>
      <c r="C228" s="3">
        <v>0.52013888888888893</v>
      </c>
      <c r="D228" t="s">
        <v>15</v>
      </c>
      <c r="E228" t="s">
        <v>331</v>
      </c>
      <c r="F228" t="str">
        <f>LEFT(Table4[[#This Row],[direction]],1)</f>
        <v>b</v>
      </c>
      <c r="G228" t="s">
        <v>646</v>
      </c>
      <c r="H228" t="s">
        <v>134</v>
      </c>
      <c r="I228" t="s">
        <v>562</v>
      </c>
      <c r="J228" s="14" t="s">
        <v>645</v>
      </c>
      <c r="K228" t="s">
        <v>563</v>
      </c>
      <c r="L228" t="str">
        <f>IFERROR(LEFT(Table4[[#This Row],[route_codes]],FIND(";",Table4[[#This Row],[route_codes]])-1),Table4[[#This Row],[route_codes]])</f>
        <v>B-a</v>
      </c>
      <c r="M228" t="s">
        <v>872</v>
      </c>
      <c r="O228" t="str">
        <f>IFERROR(LEFT(Table4[[#This Row],[point_codes]],FIND(";",Table4[[#This Row],[point_codes]])-1),Table4[[#This Row],[point_codes]])</f>
        <v>B-3</v>
      </c>
      <c r="P228" t="s">
        <v>882</v>
      </c>
      <c r="Q228">
        <f>IF(ISBLANK(Table4[[#This Row],[point_codes]]), "", LEN(Table4[[#This Row],[point_codes]])-LEN(SUBSTITUTE(Table4[[#This Row],[point_codes]],";",""))+1)</f>
        <v>3</v>
      </c>
      <c r="R228" t="s">
        <v>564</v>
      </c>
      <c r="T228" t="s">
        <v>734</v>
      </c>
      <c r="U228" s="3">
        <f>Table4[[#This Row],[time_out]]-Table4[[#This Row],[time_in]]</f>
        <v>2.7777777777777679E-3</v>
      </c>
    </row>
    <row r="229" spans="1:21" x14ac:dyDescent="0.3">
      <c r="A229">
        <v>46008</v>
      </c>
      <c r="B229" s="3">
        <v>0.47430555555555554</v>
      </c>
      <c r="C229" s="3">
        <v>0.4777777777777778</v>
      </c>
      <c r="D229" t="s">
        <v>15</v>
      </c>
      <c r="E229" t="s">
        <v>331</v>
      </c>
      <c r="F229" t="str">
        <f>LEFT(Table4[[#This Row],[direction]],1)</f>
        <v>b</v>
      </c>
      <c r="G229" t="s">
        <v>646</v>
      </c>
      <c r="H229" t="s">
        <v>134</v>
      </c>
      <c r="I229" t="s">
        <v>565</v>
      </c>
      <c r="J229" s="14" t="s">
        <v>645</v>
      </c>
      <c r="K229" t="s">
        <v>566</v>
      </c>
      <c r="L229" t="str">
        <f>IFERROR(LEFT(Table4[[#This Row],[route_codes]],FIND(";",Table4[[#This Row],[route_codes]])-1),Table4[[#This Row],[route_codes]])</f>
        <v>B-b</v>
      </c>
      <c r="M229" t="s">
        <v>758</v>
      </c>
      <c r="O229" t="str">
        <f>IFERROR(LEFT(Table4[[#This Row],[point_codes]],FIND(";",Table4[[#This Row],[point_codes]])-1),Table4[[#This Row],[point_codes]])</f>
        <v>B-9</v>
      </c>
      <c r="P229" t="s">
        <v>883</v>
      </c>
      <c r="Q229">
        <f>IF(ISBLANK(Table4[[#This Row],[point_codes]]), "", LEN(Table4[[#This Row],[point_codes]])-LEN(SUBSTITUTE(Table4[[#This Row],[point_codes]],";",""))+1)</f>
        <v>6</v>
      </c>
      <c r="R229" t="s">
        <v>567</v>
      </c>
      <c r="T229" t="s">
        <v>734</v>
      </c>
      <c r="U229" s="3">
        <f>Table4[[#This Row],[time_out]]-Table4[[#This Row],[time_in]]</f>
        <v>3.4722222222222654E-3</v>
      </c>
    </row>
    <row r="230" spans="1:21" x14ac:dyDescent="0.3">
      <c r="A230">
        <v>46008</v>
      </c>
      <c r="B230" s="3">
        <v>0.51388888888888884</v>
      </c>
      <c r="C230" s="3">
        <v>0.51736111111111116</v>
      </c>
      <c r="D230" t="s">
        <v>15</v>
      </c>
      <c r="E230" t="s">
        <v>331</v>
      </c>
      <c r="F230" t="str">
        <f>LEFT(Table4[[#This Row],[direction]],1)</f>
        <v>a</v>
      </c>
      <c r="G230" t="s">
        <v>642</v>
      </c>
      <c r="H230" t="s">
        <v>134</v>
      </c>
      <c r="I230" t="s">
        <v>568</v>
      </c>
      <c r="J230" s="14" t="s">
        <v>645</v>
      </c>
      <c r="K230" t="s">
        <v>569</v>
      </c>
      <c r="L230" t="str">
        <f>IFERROR(LEFT(Table4[[#This Row],[route_codes]],FIND(";",Table4[[#This Row],[route_codes]])-1),Table4[[#This Row],[route_codes]])</f>
        <v>B-c</v>
      </c>
      <c r="M230" t="s">
        <v>876</v>
      </c>
      <c r="O230" t="str">
        <f>IFERROR(LEFT(Table4[[#This Row],[point_codes]],FIND(";",Table4[[#This Row],[point_codes]])-1),Table4[[#This Row],[point_codes]])</f>
        <v>B-5</v>
      </c>
      <c r="P230" t="s">
        <v>884</v>
      </c>
      <c r="Q230">
        <f>IF(ISBLANK(Table4[[#This Row],[point_codes]]), "", LEN(Table4[[#This Row],[point_codes]])-LEN(SUBSTITUTE(Table4[[#This Row],[point_codes]],";",""))+1)</f>
        <v>4</v>
      </c>
      <c r="R230" t="s">
        <v>570</v>
      </c>
      <c r="T230" t="s">
        <v>734</v>
      </c>
      <c r="U230" s="3">
        <f>Table4[[#This Row],[time_out]]-Table4[[#This Row],[time_in]]</f>
        <v>3.4722222222223209E-3</v>
      </c>
    </row>
    <row r="231" spans="1:21" x14ac:dyDescent="0.3">
      <c r="A231">
        <v>46008</v>
      </c>
      <c r="B231" s="3">
        <v>0.52222222222222225</v>
      </c>
      <c r="C231" s="3">
        <v>0.52222222222222225</v>
      </c>
      <c r="D231" t="s">
        <v>15</v>
      </c>
      <c r="E231" t="s">
        <v>331</v>
      </c>
      <c r="F231" t="str">
        <f>LEFT(Table4[[#This Row],[direction]],1)</f>
        <v>a</v>
      </c>
      <c r="G231" t="s">
        <v>642</v>
      </c>
      <c r="H231" t="s">
        <v>643</v>
      </c>
      <c r="I231" t="s">
        <v>559</v>
      </c>
      <c r="J231" s="14" t="s">
        <v>645</v>
      </c>
      <c r="K231" t="s">
        <v>571</v>
      </c>
      <c r="L231" t="str">
        <f>IFERROR(LEFT(Table4[[#This Row],[route_codes]],FIND(";",Table4[[#This Row],[route_codes]])-1),Table4[[#This Row],[route_codes]])</f>
        <v>B-a</v>
      </c>
      <c r="M231" t="s">
        <v>755</v>
      </c>
      <c r="O231">
        <f>IFERROR(LEFT(Table4[[#This Row],[point_codes]],FIND(";",Table4[[#This Row],[point_codes]])-1),Table4[[#This Row],[point_codes]])</f>
        <v>0</v>
      </c>
      <c r="Q231" t="str">
        <f>IF(ISBLANK(Table4[[#This Row],[point_codes]]), "", LEN(Table4[[#This Row],[point_codes]])-LEN(SUBSTITUTE(Table4[[#This Row],[point_codes]],";",""))+1)</f>
        <v/>
      </c>
      <c r="R231" t="s">
        <v>26</v>
      </c>
      <c r="T231" t="s">
        <v>736</v>
      </c>
      <c r="U231" s="3">
        <f>Table4[[#This Row],[time_out]]-Table4[[#This Row],[time_in]]</f>
        <v>0</v>
      </c>
    </row>
    <row r="232" spans="1:21" x14ac:dyDescent="0.3">
      <c r="A232">
        <v>46008</v>
      </c>
      <c r="B232" s="3">
        <v>0.5083333333333333</v>
      </c>
      <c r="C232" s="3">
        <v>0.50972222222222219</v>
      </c>
      <c r="D232" t="s">
        <v>15</v>
      </c>
      <c r="E232" t="s">
        <v>331</v>
      </c>
      <c r="F232" t="str">
        <f>LEFT(Table4[[#This Row],[direction]],1)</f>
        <v>a</v>
      </c>
      <c r="G232" t="s">
        <v>642</v>
      </c>
      <c r="H232" t="s">
        <v>134</v>
      </c>
      <c r="I232" t="s">
        <v>572</v>
      </c>
      <c r="J232" s="14" t="s">
        <v>645</v>
      </c>
      <c r="K232" t="s">
        <v>574</v>
      </c>
      <c r="L232" t="str">
        <f>IFERROR(LEFT(Table4[[#This Row],[route_codes]],FIND(";",Table4[[#This Row],[route_codes]])-1),Table4[[#This Row],[route_codes]])</f>
        <v>B-d</v>
      </c>
      <c r="M232" t="s">
        <v>765</v>
      </c>
      <c r="O232" t="str">
        <f>IFERROR(LEFT(Table4[[#This Row],[point_codes]],FIND(";",Table4[[#This Row],[point_codes]])-1),Table4[[#This Row],[point_codes]])</f>
        <v>B-7</v>
      </c>
      <c r="P232" t="s">
        <v>885</v>
      </c>
      <c r="Q232">
        <f>IF(ISBLANK(Table4[[#This Row],[point_codes]]), "", LEN(Table4[[#This Row],[point_codes]])-LEN(SUBSTITUTE(Table4[[#This Row],[point_codes]],";",""))+1)</f>
        <v>3</v>
      </c>
      <c r="R232" t="s">
        <v>575</v>
      </c>
      <c r="T232" t="s">
        <v>734</v>
      </c>
      <c r="U232" s="3">
        <f>Table4[[#This Row],[time_out]]-Table4[[#This Row],[time_in]]</f>
        <v>1.388888888888884E-3</v>
      </c>
    </row>
    <row r="233" spans="1:21" x14ac:dyDescent="0.3">
      <c r="A233">
        <v>46002</v>
      </c>
      <c r="B233" s="3">
        <v>0.52500000000000002</v>
      </c>
      <c r="C233" s="3">
        <v>0.52569444444444446</v>
      </c>
      <c r="D233" t="s">
        <v>15</v>
      </c>
      <c r="E233" t="s">
        <v>331</v>
      </c>
      <c r="F233" t="str">
        <f>LEFT(Table4[[#This Row],[direction]],1)</f>
        <v>a</v>
      </c>
      <c r="G233" t="s">
        <v>642</v>
      </c>
      <c r="H233" t="s">
        <v>134</v>
      </c>
      <c r="I233" t="s">
        <v>576</v>
      </c>
      <c r="J233" s="14" t="s">
        <v>645</v>
      </c>
      <c r="K233" t="s">
        <v>577</v>
      </c>
      <c r="L233">
        <f>IFERROR(LEFT(Table4[[#This Row],[route_codes]],FIND(";",Table4[[#This Row],[route_codes]])-1),Table4[[#This Row],[route_codes]])</f>
        <v>0</v>
      </c>
      <c r="O233" t="str">
        <f>IFERROR(LEFT(Table4[[#This Row],[point_codes]],FIND(";",Table4[[#This Row],[point_codes]])-1),Table4[[#This Row],[point_codes]])</f>
        <v>B-5</v>
      </c>
      <c r="P233" t="s">
        <v>886</v>
      </c>
      <c r="Q233">
        <f>IF(ISBLANK(Table4[[#This Row],[point_codes]]), "", LEN(Table4[[#This Row],[point_codes]])-LEN(SUBSTITUTE(Table4[[#This Row],[point_codes]],";",""))+1)</f>
        <v>2</v>
      </c>
      <c r="R233" t="s">
        <v>578</v>
      </c>
      <c r="T233" t="s">
        <v>734</v>
      </c>
      <c r="U233" s="3">
        <f>Table4[[#This Row],[time_out]]-Table4[[#This Row],[time_in]]</f>
        <v>6.9444444444444198E-4</v>
      </c>
    </row>
    <row r="234" spans="1:21" x14ac:dyDescent="0.3">
      <c r="A234">
        <v>46029</v>
      </c>
      <c r="B234" s="3">
        <v>0.50347222222222221</v>
      </c>
      <c r="C234" s="3">
        <v>0.50624999999999998</v>
      </c>
      <c r="D234" t="s">
        <v>15</v>
      </c>
      <c r="E234" t="s">
        <v>331</v>
      </c>
      <c r="F234" t="str">
        <f>LEFT(Table4[[#This Row],[direction]],1)</f>
        <v>b</v>
      </c>
      <c r="G234" t="s">
        <v>646</v>
      </c>
      <c r="H234" t="s">
        <v>134</v>
      </c>
      <c r="I234" t="s">
        <v>548</v>
      </c>
      <c r="J234" s="14" t="s">
        <v>645</v>
      </c>
      <c r="K234" t="s">
        <v>579</v>
      </c>
      <c r="L234" t="str">
        <f>IFERROR(LEFT(Table4[[#This Row],[route_codes]],FIND(";",Table4[[#This Row],[route_codes]])-1),Table4[[#This Row],[route_codes]])</f>
        <v>B-d</v>
      </c>
      <c r="M234" t="s">
        <v>765</v>
      </c>
      <c r="O234" t="str">
        <f>IFERROR(LEFT(Table4[[#This Row],[point_codes]],FIND(";",Table4[[#This Row],[point_codes]])-1),Table4[[#This Row],[point_codes]])</f>
        <v>B-9</v>
      </c>
      <c r="P234" t="s">
        <v>887</v>
      </c>
      <c r="Q234">
        <f>IF(ISBLANK(Table4[[#This Row],[point_codes]]), "", LEN(Table4[[#This Row],[point_codes]])-LEN(SUBSTITUTE(Table4[[#This Row],[point_codes]],";",""))+1)</f>
        <v>5</v>
      </c>
      <c r="R234" t="s">
        <v>580</v>
      </c>
      <c r="T234" t="s">
        <v>734</v>
      </c>
      <c r="U234" s="3">
        <f>Table4[[#This Row],[time_out]]-Table4[[#This Row],[time_in]]</f>
        <v>2.7777777777777679E-3</v>
      </c>
    </row>
    <row r="235" spans="1:21" x14ac:dyDescent="0.3">
      <c r="A235">
        <v>46029</v>
      </c>
      <c r="B235" s="3">
        <v>0.50069444444444444</v>
      </c>
      <c r="C235" s="3">
        <v>0.50069444444444444</v>
      </c>
      <c r="D235" t="s">
        <v>15</v>
      </c>
      <c r="E235" t="s">
        <v>331</v>
      </c>
      <c r="F235" t="str">
        <f>LEFT(Table4[[#This Row],[direction]],1)</f>
        <v>a</v>
      </c>
      <c r="G235" t="s">
        <v>642</v>
      </c>
      <c r="H235" t="s">
        <v>643</v>
      </c>
      <c r="I235" t="s">
        <v>300</v>
      </c>
      <c r="J235" s="14" t="s">
        <v>645</v>
      </c>
      <c r="K235" t="s">
        <v>581</v>
      </c>
      <c r="L235">
        <f>IFERROR(LEFT(Table4[[#This Row],[route_codes]],FIND(";",Table4[[#This Row],[route_codes]])-1),Table4[[#This Row],[route_codes]])</f>
        <v>0</v>
      </c>
      <c r="O235">
        <f>IFERROR(LEFT(Table4[[#This Row],[point_codes]],FIND(";",Table4[[#This Row],[point_codes]])-1),Table4[[#This Row],[point_codes]])</f>
        <v>0</v>
      </c>
      <c r="Q235" t="str">
        <f>IF(ISBLANK(Table4[[#This Row],[point_codes]]), "", LEN(Table4[[#This Row],[point_codes]])-LEN(SUBSTITUTE(Table4[[#This Row],[point_codes]],";",""))+1)</f>
        <v/>
      </c>
      <c r="R235" t="s">
        <v>582</v>
      </c>
      <c r="T235" t="s">
        <v>736</v>
      </c>
      <c r="U235" s="3">
        <f>Table4[[#This Row],[time_out]]-Table4[[#This Row],[time_in]]</f>
        <v>0</v>
      </c>
    </row>
    <row r="236" spans="1:21" x14ac:dyDescent="0.3">
      <c r="A236">
        <v>46029</v>
      </c>
      <c r="B236" s="3">
        <v>0.5</v>
      </c>
      <c r="C236" s="3">
        <v>0.50069444444444444</v>
      </c>
      <c r="D236" t="s">
        <v>15</v>
      </c>
      <c r="E236" t="s">
        <v>331</v>
      </c>
      <c r="F236" t="str">
        <f>LEFT(Table4[[#This Row],[direction]],1)</f>
        <v>a</v>
      </c>
      <c r="G236" t="s">
        <v>642</v>
      </c>
      <c r="H236" t="s">
        <v>643</v>
      </c>
      <c r="I236" t="s">
        <v>559</v>
      </c>
      <c r="J236" s="14" t="s">
        <v>645</v>
      </c>
      <c r="K236" t="s">
        <v>584</v>
      </c>
      <c r="L236" t="str">
        <f>IFERROR(LEFT(Table4[[#This Row],[route_codes]],FIND(";",Table4[[#This Row],[route_codes]])-1),Table4[[#This Row],[route_codes]])</f>
        <v>B-c</v>
      </c>
      <c r="M236" t="s">
        <v>841</v>
      </c>
      <c r="O236" t="str">
        <f>IFERROR(LEFT(Table4[[#This Row],[point_codes]],FIND(";",Table4[[#This Row],[point_codes]])-1),Table4[[#This Row],[point_codes]])</f>
        <v>B-4</v>
      </c>
      <c r="P236" t="s">
        <v>888</v>
      </c>
      <c r="Q236">
        <f>IF(ISBLANK(Table4[[#This Row],[point_codes]]), "", LEN(Table4[[#This Row],[point_codes]])-LEN(SUBSTITUTE(Table4[[#This Row],[point_codes]],";",""))+1)</f>
        <v>2</v>
      </c>
      <c r="R236" t="s">
        <v>585</v>
      </c>
      <c r="T236" t="s">
        <v>734</v>
      </c>
      <c r="U236" s="3">
        <f>Table4[[#This Row],[time_out]]-Table4[[#This Row],[time_in]]</f>
        <v>6.9444444444444198E-4</v>
      </c>
    </row>
    <row r="237" spans="1:21" x14ac:dyDescent="0.3">
      <c r="A237">
        <v>46029</v>
      </c>
      <c r="B237" s="3">
        <v>0.49652777777777779</v>
      </c>
      <c r="C237" s="3">
        <v>0.49930555555555556</v>
      </c>
      <c r="D237" t="s">
        <v>15</v>
      </c>
      <c r="E237" t="s">
        <v>331</v>
      </c>
      <c r="F237" t="str">
        <f>LEFT(Table4[[#This Row],[direction]],1)</f>
        <v>a</v>
      </c>
      <c r="G237" t="s">
        <v>642</v>
      </c>
      <c r="H237" t="s">
        <v>134</v>
      </c>
      <c r="I237" t="s">
        <v>586</v>
      </c>
      <c r="J237" s="14" t="s">
        <v>645</v>
      </c>
      <c r="K237" t="s">
        <v>587</v>
      </c>
      <c r="L237" t="str">
        <f>IFERROR(LEFT(Table4[[#This Row],[route_codes]],FIND(";",Table4[[#This Row],[route_codes]])-1),Table4[[#This Row],[route_codes]])</f>
        <v>B-d</v>
      </c>
      <c r="M237" t="s">
        <v>765</v>
      </c>
      <c r="O237" t="str">
        <f>IFERROR(LEFT(Table4[[#This Row],[point_codes]],FIND(";",Table4[[#This Row],[point_codes]])-1),Table4[[#This Row],[point_codes]])</f>
        <v>B-13</v>
      </c>
      <c r="P237" t="s">
        <v>889</v>
      </c>
      <c r="Q237">
        <f>IF(ISBLANK(Table4[[#This Row],[point_codes]]), "", LEN(Table4[[#This Row],[point_codes]])-LEN(SUBSTITUTE(Table4[[#This Row],[point_codes]],";",""))+1)</f>
        <v>5</v>
      </c>
      <c r="R237" t="s">
        <v>588</v>
      </c>
      <c r="T237" t="s">
        <v>734</v>
      </c>
      <c r="U237" s="3">
        <f>Table4[[#This Row],[time_out]]-Table4[[#This Row],[time_in]]</f>
        <v>2.7777777777777679E-3</v>
      </c>
    </row>
    <row r="238" spans="1:21" x14ac:dyDescent="0.3">
      <c r="A238">
        <v>46029</v>
      </c>
      <c r="B238" s="3">
        <v>0.45833333333333331</v>
      </c>
      <c r="C238" s="3">
        <v>0.46041666666666664</v>
      </c>
      <c r="D238" t="s">
        <v>15</v>
      </c>
      <c r="E238" t="s">
        <v>331</v>
      </c>
      <c r="F238" t="str">
        <f>LEFT(Table4[[#This Row],[direction]],1)</f>
        <v>b</v>
      </c>
      <c r="G238" t="s">
        <v>646</v>
      </c>
      <c r="H238" t="s">
        <v>490</v>
      </c>
      <c r="I238" t="s">
        <v>590</v>
      </c>
      <c r="J238" s="14" t="s">
        <v>644</v>
      </c>
      <c r="K238" t="s">
        <v>591</v>
      </c>
      <c r="L238">
        <f>IFERROR(LEFT(Table4[[#This Row],[route_codes]],FIND(";",Table4[[#This Row],[route_codes]])-1),Table4[[#This Row],[route_codes]])</f>
        <v>0</v>
      </c>
      <c r="O238" t="str">
        <f>IFERROR(LEFT(Table4[[#This Row],[point_codes]],FIND(";",Table4[[#This Row],[point_codes]])-1),Table4[[#This Row],[point_codes]])</f>
        <v>B-4</v>
      </c>
      <c r="P238" t="s">
        <v>890</v>
      </c>
      <c r="Q238">
        <f>IF(ISBLANK(Table4[[#This Row],[point_codes]]), "", LEN(Table4[[#This Row],[point_codes]])-LEN(SUBSTITUTE(Table4[[#This Row],[point_codes]],";",""))+1)</f>
        <v>2</v>
      </c>
      <c r="R238" t="s">
        <v>592</v>
      </c>
      <c r="T238" t="s">
        <v>734</v>
      </c>
      <c r="U238" s="3">
        <f>Table4[[#This Row],[time_out]]-Table4[[#This Row],[time_in]]</f>
        <v>2.0833333333333259E-3</v>
      </c>
    </row>
    <row r="239" spans="1:21" x14ac:dyDescent="0.3">
      <c r="A239">
        <v>46029</v>
      </c>
      <c r="B239" s="3">
        <v>0.47222222222222221</v>
      </c>
      <c r="C239" s="3">
        <v>0.47361111111111109</v>
      </c>
      <c r="D239" t="s">
        <v>15</v>
      </c>
      <c r="E239" t="s">
        <v>331</v>
      </c>
      <c r="F239" t="str">
        <f>LEFT(Table4[[#This Row],[direction]],1)</f>
        <v>a</v>
      </c>
      <c r="G239" t="s">
        <v>642</v>
      </c>
      <c r="H239" t="s">
        <v>643</v>
      </c>
      <c r="I239" t="s">
        <v>300</v>
      </c>
      <c r="J239" s="14" t="s">
        <v>645</v>
      </c>
      <c r="K239" t="s">
        <v>593</v>
      </c>
      <c r="L239" t="str">
        <f>IFERROR(LEFT(Table4[[#This Row],[route_codes]],FIND(";",Table4[[#This Row],[route_codes]])-1),Table4[[#This Row],[route_codes]])</f>
        <v>B-d</v>
      </c>
      <c r="M239" t="s">
        <v>765</v>
      </c>
      <c r="O239" t="str">
        <f>IFERROR(LEFT(Table4[[#This Row],[point_codes]],FIND(";",Table4[[#This Row],[point_codes]])-1),Table4[[#This Row],[point_codes]])</f>
        <v>B-7</v>
      </c>
      <c r="P239" t="s">
        <v>891</v>
      </c>
      <c r="Q239">
        <f>IF(ISBLANK(Table4[[#This Row],[point_codes]]), "", LEN(Table4[[#This Row],[point_codes]])-LEN(SUBSTITUTE(Table4[[#This Row],[point_codes]],";",""))+1)</f>
        <v>5</v>
      </c>
      <c r="R239" t="s">
        <v>594</v>
      </c>
      <c r="T239" t="s">
        <v>734</v>
      </c>
      <c r="U239" s="3">
        <f>Table4[[#This Row],[time_out]]-Table4[[#This Row],[time_in]]</f>
        <v>1.388888888888884E-3</v>
      </c>
    </row>
    <row r="240" spans="1:21" x14ac:dyDescent="0.3">
      <c r="A240">
        <v>46029</v>
      </c>
      <c r="B240" s="3">
        <v>0.48819444444444443</v>
      </c>
      <c r="C240" s="3">
        <v>0.48958333333333331</v>
      </c>
      <c r="D240" t="s">
        <v>15</v>
      </c>
      <c r="E240" t="s">
        <v>331</v>
      </c>
      <c r="F240" t="str">
        <f>LEFT(Table4[[#This Row],[direction]],1)</f>
        <v>b</v>
      </c>
      <c r="G240" t="s">
        <v>646</v>
      </c>
      <c r="H240" t="s">
        <v>490</v>
      </c>
      <c r="I240" t="s">
        <v>595</v>
      </c>
      <c r="J240" s="14" t="s">
        <v>644</v>
      </c>
      <c r="K240" t="s">
        <v>596</v>
      </c>
      <c r="L240" t="str">
        <f>IFERROR(LEFT(Table4[[#This Row],[route_codes]],FIND(";",Table4[[#This Row],[route_codes]])-1),Table4[[#This Row],[route_codes]])</f>
        <v>B-b</v>
      </c>
      <c r="M240" t="s">
        <v>758</v>
      </c>
      <c r="O240" t="str">
        <f>IFERROR(LEFT(Table4[[#This Row],[point_codes]],FIND(";",Table4[[#This Row],[point_codes]])-1),Table4[[#This Row],[point_codes]])</f>
        <v>B-14</v>
      </c>
      <c r="P240" t="s">
        <v>892</v>
      </c>
      <c r="Q240">
        <f>IF(ISBLANK(Table4[[#This Row],[point_codes]]), "", LEN(Table4[[#This Row],[point_codes]])-LEN(SUBSTITUTE(Table4[[#This Row],[point_codes]],";",""))+1)</f>
        <v>4</v>
      </c>
      <c r="R240" t="s">
        <v>597</v>
      </c>
      <c r="T240" t="s">
        <v>734</v>
      </c>
      <c r="U240" s="3">
        <f>Table4[[#This Row],[time_out]]-Table4[[#This Row],[time_in]]</f>
        <v>1.388888888888884E-3</v>
      </c>
    </row>
    <row r="241" spans="1:21" x14ac:dyDescent="0.3">
      <c r="A241">
        <v>46038</v>
      </c>
      <c r="B241" s="3">
        <v>0.63402777777777775</v>
      </c>
      <c r="C241" s="3">
        <v>0.63472222222222219</v>
      </c>
      <c r="D241" t="s">
        <v>115</v>
      </c>
      <c r="E241" t="s">
        <v>331</v>
      </c>
      <c r="F241" t="str">
        <f>LEFT(Table4[[#This Row],[direction]],1)</f>
        <v>b</v>
      </c>
      <c r="G241" t="s">
        <v>646</v>
      </c>
      <c r="H241" t="s">
        <v>134</v>
      </c>
      <c r="I241" t="s">
        <v>598</v>
      </c>
      <c r="J241" s="14" t="s">
        <v>644</v>
      </c>
      <c r="K241" t="s">
        <v>599</v>
      </c>
      <c r="L241" t="str">
        <f>IFERROR(LEFT(Table4[[#This Row],[route_codes]],FIND(";",Table4[[#This Row],[route_codes]])-1),Table4[[#This Row],[route_codes]])</f>
        <v>B-b</v>
      </c>
      <c r="M241" t="s">
        <v>758</v>
      </c>
      <c r="O241" t="str">
        <f>IFERROR(LEFT(Table4[[#This Row],[point_codes]],FIND(";",Table4[[#This Row],[point_codes]])-1),Table4[[#This Row],[point_codes]])</f>
        <v>B-4</v>
      </c>
      <c r="P241" t="s">
        <v>878</v>
      </c>
      <c r="Q241">
        <f>IF(ISBLANK(Table4[[#This Row],[point_codes]]), "", LEN(Table4[[#This Row],[point_codes]])-LEN(SUBSTITUTE(Table4[[#This Row],[point_codes]],";",""))+1)</f>
        <v>3</v>
      </c>
      <c r="R241" t="s">
        <v>600</v>
      </c>
      <c r="T241" t="s">
        <v>734</v>
      </c>
      <c r="U241" s="3">
        <f>Table4[[#This Row],[time_out]]-Table4[[#This Row],[time_in]]</f>
        <v>6.9444444444444198E-4</v>
      </c>
    </row>
    <row r="242" spans="1:21" x14ac:dyDescent="0.3">
      <c r="A242">
        <v>46033</v>
      </c>
      <c r="B242" s="3">
        <v>0.51041666666666663</v>
      </c>
      <c r="C242" s="3">
        <v>0.51180555555555551</v>
      </c>
      <c r="D242" t="s">
        <v>15</v>
      </c>
      <c r="E242" t="s">
        <v>331</v>
      </c>
      <c r="F242" t="str">
        <f>LEFT(Table4[[#This Row],[direction]],1)</f>
        <v>a</v>
      </c>
      <c r="G242" t="s">
        <v>642</v>
      </c>
      <c r="H242" t="s">
        <v>312</v>
      </c>
      <c r="J242" s="14" t="s">
        <v>312</v>
      </c>
      <c r="K242" t="s">
        <v>601</v>
      </c>
      <c r="L242" t="str">
        <f>IFERROR(LEFT(Table4[[#This Row],[route_codes]],FIND(";",Table4[[#This Row],[route_codes]])-1),Table4[[#This Row],[route_codes]])</f>
        <v>B-d</v>
      </c>
      <c r="M242" t="s">
        <v>765</v>
      </c>
      <c r="O242" t="str">
        <f>IFERROR(LEFT(Table4[[#This Row],[point_codes]],FIND(";",Table4[[#This Row],[point_codes]])-1),Table4[[#This Row],[point_codes]])</f>
        <v>B-5</v>
      </c>
      <c r="P242" t="s">
        <v>893</v>
      </c>
      <c r="Q242">
        <f>IF(ISBLANK(Table4[[#This Row],[point_codes]]), "", LEN(Table4[[#This Row],[point_codes]])-LEN(SUBSTITUTE(Table4[[#This Row],[point_codes]],";",""))+1)</f>
        <v>3</v>
      </c>
      <c r="R242" t="s">
        <v>602</v>
      </c>
      <c r="T242" t="s">
        <v>734</v>
      </c>
      <c r="U242" s="3">
        <f>Table4[[#This Row],[time_out]]-Table4[[#This Row],[time_in]]</f>
        <v>1.388888888888884E-3</v>
      </c>
    </row>
    <row r="243" spans="1:21" x14ac:dyDescent="0.3">
      <c r="A243">
        <v>46033</v>
      </c>
      <c r="B243" s="3">
        <v>0.50694444444444442</v>
      </c>
      <c r="C243" s="3">
        <v>0.51041666666666663</v>
      </c>
      <c r="D243" t="s">
        <v>15</v>
      </c>
      <c r="E243" t="s">
        <v>331</v>
      </c>
      <c r="F243" t="str">
        <f>LEFT(Table4[[#This Row],[direction]],1)</f>
        <v>a</v>
      </c>
      <c r="G243" t="s">
        <v>642</v>
      </c>
      <c r="H243" t="s">
        <v>643</v>
      </c>
      <c r="I243" t="s">
        <v>113</v>
      </c>
      <c r="J243" s="14" t="s">
        <v>645</v>
      </c>
      <c r="K243" t="s">
        <v>603</v>
      </c>
      <c r="L243" t="str">
        <f>IFERROR(LEFT(Table4[[#This Row],[route_codes]],FIND(";",Table4[[#This Row],[route_codes]])-1),Table4[[#This Row],[route_codes]])</f>
        <v>B-c</v>
      </c>
      <c r="M243" t="s">
        <v>841</v>
      </c>
      <c r="O243" t="str">
        <f>IFERROR(LEFT(Table4[[#This Row],[point_codes]],FIND(";",Table4[[#This Row],[point_codes]])-1),Table4[[#This Row],[point_codes]])</f>
        <v>B-6</v>
      </c>
      <c r="P243" t="s">
        <v>894</v>
      </c>
      <c r="Q243">
        <f>IF(ISBLANK(Table4[[#This Row],[point_codes]]), "", LEN(Table4[[#This Row],[point_codes]])-LEN(SUBSTITUTE(Table4[[#This Row],[point_codes]],";",""))+1)</f>
        <v>2</v>
      </c>
      <c r="R243" t="s">
        <v>604</v>
      </c>
      <c r="T243" t="s">
        <v>734</v>
      </c>
      <c r="U243" s="3">
        <f>Table4[[#This Row],[time_out]]-Table4[[#This Row],[time_in]]</f>
        <v>3.4722222222222099E-3</v>
      </c>
    </row>
    <row r="244" spans="1:21" x14ac:dyDescent="0.3">
      <c r="A244">
        <v>46033</v>
      </c>
      <c r="B244" s="3">
        <v>0.50347222222222221</v>
      </c>
      <c r="C244" s="3">
        <v>0.50486111111111109</v>
      </c>
      <c r="D244" t="s">
        <v>15</v>
      </c>
      <c r="E244" t="s">
        <v>331</v>
      </c>
      <c r="F244" t="str">
        <f>LEFT(Table4[[#This Row],[direction]],1)</f>
        <v>a</v>
      </c>
      <c r="G244" t="s">
        <v>642</v>
      </c>
      <c r="H244" t="s">
        <v>490</v>
      </c>
      <c r="I244" t="s">
        <v>605</v>
      </c>
      <c r="J244" s="14" t="s">
        <v>644</v>
      </c>
      <c r="K244" t="s">
        <v>606</v>
      </c>
      <c r="L244" t="str">
        <f>IFERROR(LEFT(Table4[[#This Row],[route_codes]],FIND(";",Table4[[#This Row],[route_codes]])-1),Table4[[#This Row],[route_codes]])</f>
        <v>B-d</v>
      </c>
      <c r="M244" t="s">
        <v>765</v>
      </c>
      <c r="O244" t="str">
        <f>IFERROR(LEFT(Table4[[#This Row],[point_codes]],FIND(";",Table4[[#This Row],[point_codes]])-1),Table4[[#This Row],[point_codes]])</f>
        <v>B-5</v>
      </c>
      <c r="P244" t="s">
        <v>895</v>
      </c>
      <c r="Q244">
        <f>IF(ISBLANK(Table4[[#This Row],[point_codes]]), "", LEN(Table4[[#This Row],[point_codes]])-LEN(SUBSTITUTE(Table4[[#This Row],[point_codes]],";",""))+1)</f>
        <v>4</v>
      </c>
      <c r="R244" t="s">
        <v>607</v>
      </c>
      <c r="T244" t="s">
        <v>734</v>
      </c>
      <c r="U244" s="3">
        <f>Table4[[#This Row],[time_out]]-Table4[[#This Row],[time_in]]</f>
        <v>1.388888888888884E-3</v>
      </c>
    </row>
    <row r="245" spans="1:21" x14ac:dyDescent="0.3">
      <c r="A245">
        <v>46033</v>
      </c>
      <c r="B245" s="3">
        <v>0.46041666666666664</v>
      </c>
      <c r="C245" s="3"/>
      <c r="D245" t="s">
        <v>15</v>
      </c>
      <c r="E245" t="s">
        <v>331</v>
      </c>
      <c r="F245" t="str">
        <f>LEFT(Table4[[#This Row],[direction]],1)</f>
        <v>a</v>
      </c>
      <c r="G245" t="s">
        <v>642</v>
      </c>
      <c r="H245" t="s">
        <v>643</v>
      </c>
      <c r="I245" t="s">
        <v>608</v>
      </c>
      <c r="J245" s="14" t="s">
        <v>645</v>
      </c>
      <c r="K245" t="s">
        <v>609</v>
      </c>
      <c r="L245">
        <f>IFERROR(LEFT(Table4[[#This Row],[route_codes]],FIND(";",Table4[[#This Row],[route_codes]])-1),Table4[[#This Row],[route_codes]])</f>
        <v>0</v>
      </c>
      <c r="O245" t="str">
        <f>IFERROR(LEFT(Table4[[#This Row],[point_codes]],FIND(";",Table4[[#This Row],[point_codes]])-1),Table4[[#This Row],[point_codes]])</f>
        <v>B-5</v>
      </c>
      <c r="P245" t="s">
        <v>896</v>
      </c>
      <c r="Q245">
        <f>IF(ISBLANK(Table4[[#This Row],[point_codes]]), "", LEN(Table4[[#This Row],[point_codes]])-LEN(SUBSTITUTE(Table4[[#This Row],[point_codes]],";",""))+1)</f>
        <v>3</v>
      </c>
      <c r="R245" t="s">
        <v>610</v>
      </c>
      <c r="S245" t="s">
        <v>611</v>
      </c>
      <c r="T245" t="s">
        <v>734</v>
      </c>
      <c r="U245" s="3">
        <f>Table4[[#This Row],[time_out]]-Table4[[#This Row],[time_in]]</f>
        <v>-0.46041666666666664</v>
      </c>
    </row>
    <row r="246" spans="1:21" x14ac:dyDescent="0.3">
      <c r="A246">
        <v>46030</v>
      </c>
      <c r="B246" s="3">
        <v>0.50347222222222221</v>
      </c>
      <c r="C246" s="3">
        <v>0.50486111111111109</v>
      </c>
      <c r="D246" t="s">
        <v>28</v>
      </c>
      <c r="E246" t="s">
        <v>331</v>
      </c>
      <c r="F246" t="str">
        <f>LEFT(Table4[[#This Row],[direction]],1)</f>
        <v>a</v>
      </c>
      <c r="G246" t="s">
        <v>642</v>
      </c>
      <c r="H246" t="s">
        <v>134</v>
      </c>
      <c r="I246" t="s">
        <v>612</v>
      </c>
      <c r="J246" s="14" t="s">
        <v>645</v>
      </c>
      <c r="K246" t="s">
        <v>613</v>
      </c>
      <c r="L246" t="str">
        <f>IFERROR(LEFT(Table4[[#This Row],[route_codes]],FIND(";",Table4[[#This Row],[route_codes]])-1),Table4[[#This Row],[route_codes]])</f>
        <v>B-c</v>
      </c>
      <c r="M246" t="s">
        <v>841</v>
      </c>
      <c r="O246" t="str">
        <f>IFERROR(LEFT(Table4[[#This Row],[point_codes]],FIND(";",Table4[[#This Row],[point_codes]])-1),Table4[[#This Row],[point_codes]])</f>
        <v>B-7</v>
      </c>
      <c r="P246" t="s">
        <v>897</v>
      </c>
      <c r="Q246">
        <f>IF(ISBLANK(Table4[[#This Row],[point_codes]]), "", LEN(Table4[[#This Row],[point_codes]])-LEN(SUBSTITUTE(Table4[[#This Row],[point_codes]],";",""))+1)</f>
        <v>3</v>
      </c>
      <c r="R246" t="s">
        <v>614</v>
      </c>
      <c r="T246" t="s">
        <v>734</v>
      </c>
      <c r="U246" s="3">
        <f>Table4[[#This Row],[time_out]]-Table4[[#This Row],[time_in]]</f>
        <v>1.388888888888884E-3</v>
      </c>
    </row>
    <row r="247" spans="1:21" x14ac:dyDescent="0.3">
      <c r="A247">
        <v>46033</v>
      </c>
      <c r="B247" s="3">
        <v>0.50694444444444442</v>
      </c>
      <c r="C247" s="3">
        <v>0.51180555555555551</v>
      </c>
      <c r="D247" t="s">
        <v>15</v>
      </c>
      <c r="E247" t="s">
        <v>331</v>
      </c>
      <c r="F247" t="str">
        <f>LEFT(Table4[[#This Row],[direction]],1)</f>
        <v>b</v>
      </c>
      <c r="G247" t="s">
        <v>646</v>
      </c>
      <c r="H247" t="s">
        <v>490</v>
      </c>
      <c r="I247" t="s">
        <v>616</v>
      </c>
      <c r="J247" s="14" t="s">
        <v>645</v>
      </c>
      <c r="K247" t="s">
        <v>617</v>
      </c>
      <c r="L247">
        <f>IFERROR(LEFT(Table4[[#This Row],[route_codes]],FIND(";",Table4[[#This Row],[route_codes]])-1),Table4[[#This Row],[route_codes]])</f>
        <v>0</v>
      </c>
      <c r="O247" t="str">
        <f>IFERROR(LEFT(Table4[[#This Row],[point_codes]],FIND(";",Table4[[#This Row],[point_codes]])-1),Table4[[#This Row],[point_codes]])</f>
        <v>B-4</v>
      </c>
      <c r="P247" t="s">
        <v>898</v>
      </c>
      <c r="Q247">
        <f>IF(ISBLANK(Table4[[#This Row],[point_codes]]), "", LEN(Table4[[#This Row],[point_codes]])-LEN(SUBSTITUTE(Table4[[#This Row],[point_codes]],";",""))+1)</f>
        <v>7</v>
      </c>
      <c r="R247" t="s">
        <v>618</v>
      </c>
      <c r="T247" t="s">
        <v>734</v>
      </c>
      <c r="U247" s="3">
        <f>Table4[[#This Row],[time_out]]-Table4[[#This Row],[time_in]]</f>
        <v>4.8611111111110938E-3</v>
      </c>
    </row>
    <row r="248" spans="1:21" x14ac:dyDescent="0.3">
      <c r="A248">
        <v>46033</v>
      </c>
      <c r="B248" s="3">
        <v>0.50138888888888888</v>
      </c>
      <c r="C248" s="3">
        <v>0.50277777777777777</v>
      </c>
      <c r="D248" t="s">
        <v>15</v>
      </c>
      <c r="E248" t="s">
        <v>331</v>
      </c>
      <c r="F248" t="str">
        <f>LEFT(Table4[[#This Row],[direction]],1)</f>
        <v>a</v>
      </c>
      <c r="G248" t="s">
        <v>642</v>
      </c>
      <c r="H248" t="s">
        <v>134</v>
      </c>
      <c r="I248" t="s">
        <v>548</v>
      </c>
      <c r="J248" s="14" t="s">
        <v>645</v>
      </c>
      <c r="K248" t="s">
        <v>619</v>
      </c>
      <c r="L248" t="str">
        <f>IFERROR(LEFT(Table4[[#This Row],[route_codes]],FIND(";",Table4[[#This Row],[route_codes]])-1),Table4[[#This Row],[route_codes]])</f>
        <v>B-c</v>
      </c>
      <c r="M248" t="s">
        <v>841</v>
      </c>
      <c r="O248" t="str">
        <f>IFERROR(LEFT(Table4[[#This Row],[point_codes]],FIND(";",Table4[[#This Row],[point_codes]])-1),Table4[[#This Row],[point_codes]])</f>
        <v>B-5</v>
      </c>
      <c r="P248" t="s">
        <v>899</v>
      </c>
      <c r="Q248">
        <f>IF(ISBLANK(Table4[[#This Row],[point_codes]]), "", LEN(Table4[[#This Row],[point_codes]])-LEN(SUBSTITUTE(Table4[[#This Row],[point_codes]],";",""))+1)</f>
        <v>2</v>
      </c>
      <c r="R248" t="s">
        <v>620</v>
      </c>
      <c r="T248" t="s">
        <v>734</v>
      </c>
      <c r="U248" s="3">
        <f>Table4[[#This Row],[time_out]]-Table4[[#This Row],[time_in]]</f>
        <v>1.388888888888884E-3</v>
      </c>
    </row>
    <row r="249" spans="1:21" x14ac:dyDescent="0.3">
      <c r="A249">
        <v>46033</v>
      </c>
      <c r="B249" s="3">
        <v>0.54166666666666663</v>
      </c>
      <c r="C249" s="3">
        <v>0.54236111111111107</v>
      </c>
      <c r="D249" t="s">
        <v>15</v>
      </c>
      <c r="E249" t="s">
        <v>331</v>
      </c>
      <c r="F249" t="str">
        <f>LEFT(Table4[[#This Row],[direction]],1)</f>
        <v>a</v>
      </c>
      <c r="G249" t="s">
        <v>642</v>
      </c>
      <c r="H249" t="s">
        <v>134</v>
      </c>
      <c r="I249" t="s">
        <v>621</v>
      </c>
      <c r="J249" s="14" t="s">
        <v>645</v>
      </c>
      <c r="K249" t="s">
        <v>622</v>
      </c>
      <c r="L249">
        <f>IFERROR(LEFT(Table4[[#This Row],[route_codes]],FIND(";",Table4[[#This Row],[route_codes]])-1),Table4[[#This Row],[route_codes]])</f>
        <v>0</v>
      </c>
      <c r="O249" t="str">
        <f>IFERROR(LEFT(Table4[[#This Row],[point_codes]],FIND(";",Table4[[#This Row],[point_codes]])-1),Table4[[#This Row],[point_codes]])</f>
        <v>B-4</v>
      </c>
      <c r="P249" t="s">
        <v>838</v>
      </c>
      <c r="Q249">
        <f>IF(ISBLANK(Table4[[#This Row],[point_codes]]), "", LEN(Table4[[#This Row],[point_codes]])-LEN(SUBSTITUTE(Table4[[#This Row],[point_codes]],";",""))+1)</f>
        <v>1</v>
      </c>
      <c r="R249" t="s">
        <v>623</v>
      </c>
      <c r="T249" t="s">
        <v>734</v>
      </c>
      <c r="U249" s="3">
        <f>Table4[[#This Row],[time_out]]-Table4[[#This Row],[time_in]]</f>
        <v>6.9444444444444198E-4</v>
      </c>
    </row>
    <row r="250" spans="1:21" x14ac:dyDescent="0.3">
      <c r="A250">
        <v>46033</v>
      </c>
      <c r="B250" s="3">
        <v>0.50069444444444444</v>
      </c>
      <c r="C250" s="3">
        <v>0.50208333333333333</v>
      </c>
      <c r="D250" t="s">
        <v>15</v>
      </c>
      <c r="E250" t="s">
        <v>331</v>
      </c>
      <c r="F250" t="str">
        <f>LEFT(Table4[[#This Row],[direction]],1)</f>
        <v>u</v>
      </c>
      <c r="G250" t="s">
        <v>312</v>
      </c>
      <c r="H250" t="s">
        <v>134</v>
      </c>
      <c r="I250" t="s">
        <v>625</v>
      </c>
      <c r="J250" s="14" t="s">
        <v>645</v>
      </c>
      <c r="K250" t="s">
        <v>626</v>
      </c>
      <c r="L250" t="str">
        <f>IFERROR(LEFT(Table4[[#This Row],[route_codes]],FIND(";",Table4[[#This Row],[route_codes]])-1),Table4[[#This Row],[route_codes]])</f>
        <v>B-a</v>
      </c>
      <c r="M250" t="s">
        <v>900</v>
      </c>
      <c r="O250" t="str">
        <f>IFERROR(LEFT(Table4[[#This Row],[point_codes]],FIND(";",Table4[[#This Row],[point_codes]])-1),Table4[[#This Row],[point_codes]])</f>
        <v>B-1</v>
      </c>
      <c r="P250" t="s">
        <v>901</v>
      </c>
      <c r="Q250">
        <f>IF(ISBLANK(Table4[[#This Row],[point_codes]]), "", LEN(Table4[[#This Row],[point_codes]])-LEN(SUBSTITUTE(Table4[[#This Row],[point_codes]],";",""))+1)</f>
        <v>2</v>
      </c>
      <c r="R250" t="s">
        <v>627</v>
      </c>
      <c r="S250" t="s">
        <v>628</v>
      </c>
      <c r="T250" t="s">
        <v>734</v>
      </c>
      <c r="U250" s="3">
        <f>Table4[[#This Row],[time_out]]-Table4[[#This Row],[time_in]]</f>
        <v>1.388888888888884E-3</v>
      </c>
    </row>
  </sheetData>
  <pageMargins left="0.7" right="0.7" top="0.75" bottom="0.75" header="0.3" footer="0.3"/>
  <pageSetup paperSize="9" orientation="portrait"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8F349-2C24-42A2-9FC5-4A750A328525}">
  <dimension ref="A1:Q183"/>
  <sheetViews>
    <sheetView tabSelected="1" topLeftCell="B1" workbookViewId="0">
      <selection activeCell="Q4" sqref="Q4"/>
    </sheetView>
  </sheetViews>
  <sheetFormatPr defaultRowHeight="14.4" x14ac:dyDescent="0.3"/>
  <sheetData>
    <row r="1" spans="1:17" x14ac:dyDescent="0.3">
      <c r="A1" t="s">
        <v>702</v>
      </c>
    </row>
    <row r="2" spans="1:17" x14ac:dyDescent="0.3">
      <c r="A2" t="s">
        <v>775</v>
      </c>
      <c r="B2" t="s">
        <v>903</v>
      </c>
      <c r="M2" t="s">
        <v>916</v>
      </c>
      <c r="N2" t="s">
        <v>917</v>
      </c>
      <c r="O2" t="s">
        <v>918</v>
      </c>
      <c r="Q2" t="s">
        <v>920</v>
      </c>
    </row>
    <row r="3" spans="1:17" x14ac:dyDescent="0.3">
      <c r="A3" t="s">
        <v>786</v>
      </c>
      <c r="B3" t="s">
        <v>781</v>
      </c>
      <c r="C3" t="s">
        <v>903</v>
      </c>
      <c r="D3" t="s">
        <v>777</v>
      </c>
      <c r="E3" t="s">
        <v>795</v>
      </c>
      <c r="F3" t="s">
        <v>775</v>
      </c>
      <c r="G3" t="s">
        <v>786</v>
      </c>
      <c r="H3" t="s">
        <v>781</v>
      </c>
      <c r="I3" t="s">
        <v>903</v>
      </c>
      <c r="J3" t="s">
        <v>777</v>
      </c>
      <c r="M3" t="s">
        <v>744</v>
      </c>
      <c r="N3">
        <f t="shared" ref="N3:N29" si="0">COUNTIF(A:J,M3)</f>
        <v>47</v>
      </c>
      <c r="O3">
        <f>COUNTIF(A:A,M3)</f>
        <v>25</v>
      </c>
      <c r="Q3" t="s">
        <v>922</v>
      </c>
    </row>
    <row r="4" spans="1:17" x14ac:dyDescent="0.3">
      <c r="A4" t="s">
        <v>903</v>
      </c>
      <c r="B4" t="s">
        <v>775</v>
      </c>
      <c r="C4" t="s">
        <v>777</v>
      </c>
      <c r="M4" t="s">
        <v>777</v>
      </c>
      <c r="N4">
        <f t="shared" si="0"/>
        <v>45</v>
      </c>
      <c r="O4">
        <f t="shared" ref="O4:O29" si="1">COUNTIF(A:A,M4)</f>
        <v>7</v>
      </c>
      <c r="Q4" t="s">
        <v>921</v>
      </c>
    </row>
    <row r="5" spans="1:17" x14ac:dyDescent="0.3">
      <c r="A5" t="s">
        <v>787</v>
      </c>
      <c r="B5" t="s">
        <v>777</v>
      </c>
      <c r="C5" t="s">
        <v>786</v>
      </c>
      <c r="D5" t="s">
        <v>810</v>
      </c>
      <c r="E5" t="s">
        <v>775</v>
      </c>
      <c r="M5" t="s">
        <v>838</v>
      </c>
      <c r="N5">
        <f t="shared" si="0"/>
        <v>42</v>
      </c>
      <c r="O5">
        <f t="shared" si="1"/>
        <v>23</v>
      </c>
    </row>
    <row r="6" spans="1:17" x14ac:dyDescent="0.3">
      <c r="A6" t="s">
        <v>797</v>
      </c>
      <c r="B6" t="s">
        <v>777</v>
      </c>
      <c r="C6" t="s">
        <v>786</v>
      </c>
      <c r="M6" t="s">
        <v>775</v>
      </c>
      <c r="N6">
        <f t="shared" si="0"/>
        <v>34</v>
      </c>
      <c r="O6">
        <f t="shared" si="1"/>
        <v>14</v>
      </c>
    </row>
    <row r="7" spans="1:17" x14ac:dyDescent="0.3">
      <c r="A7" t="s">
        <v>797</v>
      </c>
      <c r="B7" t="s">
        <v>795</v>
      </c>
      <c r="C7" t="s">
        <v>777</v>
      </c>
      <c r="D7" t="s">
        <v>786</v>
      </c>
      <c r="E7" t="s">
        <v>775</v>
      </c>
      <c r="F7" t="s">
        <v>744</v>
      </c>
      <c r="M7" t="s">
        <v>766</v>
      </c>
      <c r="N7">
        <f t="shared" si="0"/>
        <v>33</v>
      </c>
      <c r="O7">
        <f t="shared" si="1"/>
        <v>18</v>
      </c>
    </row>
    <row r="8" spans="1:17" x14ac:dyDescent="0.3">
      <c r="A8" t="s">
        <v>775</v>
      </c>
      <c r="B8" t="s">
        <v>787</v>
      </c>
      <c r="C8" t="s">
        <v>797</v>
      </c>
      <c r="M8" t="s">
        <v>795</v>
      </c>
      <c r="N8">
        <f t="shared" si="0"/>
        <v>33</v>
      </c>
      <c r="O8">
        <f t="shared" si="1"/>
        <v>15</v>
      </c>
    </row>
    <row r="9" spans="1:17" x14ac:dyDescent="0.3">
      <c r="A9" t="s">
        <v>744</v>
      </c>
      <c r="B9" t="s">
        <v>786</v>
      </c>
      <c r="C9" t="s">
        <v>777</v>
      </c>
      <c r="M9" t="s">
        <v>786</v>
      </c>
      <c r="N9">
        <f t="shared" si="0"/>
        <v>31</v>
      </c>
      <c r="O9">
        <f t="shared" si="1"/>
        <v>11</v>
      </c>
    </row>
    <row r="10" spans="1:17" x14ac:dyDescent="0.3">
      <c r="A10" t="s">
        <v>786</v>
      </c>
      <c r="B10" t="s">
        <v>777</v>
      </c>
      <c r="C10" t="s">
        <v>795</v>
      </c>
      <c r="M10" t="s">
        <v>830</v>
      </c>
      <c r="N10">
        <f t="shared" si="0"/>
        <v>31</v>
      </c>
      <c r="O10">
        <f t="shared" si="1"/>
        <v>9</v>
      </c>
    </row>
    <row r="11" spans="1:17" x14ac:dyDescent="0.3">
      <c r="A11" t="s">
        <v>775</v>
      </c>
      <c r="B11" t="s">
        <v>810</v>
      </c>
      <c r="C11" t="s">
        <v>903</v>
      </c>
      <c r="D11" t="s">
        <v>777</v>
      </c>
      <c r="M11" t="s">
        <v>761</v>
      </c>
      <c r="N11">
        <f t="shared" si="0"/>
        <v>30</v>
      </c>
      <c r="O11">
        <f t="shared" si="1"/>
        <v>12</v>
      </c>
    </row>
    <row r="12" spans="1:17" x14ac:dyDescent="0.3">
      <c r="A12" t="s">
        <v>904</v>
      </c>
      <c r="B12" t="s">
        <v>795</v>
      </c>
      <c r="C12" t="s">
        <v>777</v>
      </c>
      <c r="D12" t="s">
        <v>781</v>
      </c>
      <c r="E12" t="s">
        <v>810</v>
      </c>
      <c r="F12" t="s">
        <v>775</v>
      </c>
      <c r="M12" t="s">
        <v>829</v>
      </c>
      <c r="N12">
        <f t="shared" si="0"/>
        <v>25</v>
      </c>
      <c r="O12">
        <f t="shared" si="1"/>
        <v>8</v>
      </c>
    </row>
    <row r="13" spans="1:17" x14ac:dyDescent="0.3">
      <c r="A13" t="s">
        <v>838</v>
      </c>
      <c r="B13" t="s">
        <v>829</v>
      </c>
      <c r="C13" t="s">
        <v>744</v>
      </c>
      <c r="M13" t="s">
        <v>810</v>
      </c>
      <c r="N13">
        <f t="shared" si="0"/>
        <v>19</v>
      </c>
      <c r="O13">
        <f t="shared" si="1"/>
        <v>5</v>
      </c>
    </row>
    <row r="14" spans="1:17" x14ac:dyDescent="0.3">
      <c r="A14" t="s">
        <v>761</v>
      </c>
      <c r="M14" t="s">
        <v>906</v>
      </c>
      <c r="N14">
        <f t="shared" si="0"/>
        <v>19</v>
      </c>
      <c r="O14">
        <f t="shared" si="1"/>
        <v>4</v>
      </c>
    </row>
    <row r="15" spans="1:17" x14ac:dyDescent="0.3">
      <c r="A15" t="s">
        <v>761</v>
      </c>
      <c r="M15" t="s">
        <v>915</v>
      </c>
      <c r="N15">
        <f t="shared" si="0"/>
        <v>17</v>
      </c>
      <c r="O15">
        <f t="shared" si="1"/>
        <v>0</v>
      </c>
    </row>
    <row r="16" spans="1:17" x14ac:dyDescent="0.3">
      <c r="A16" t="s">
        <v>766</v>
      </c>
      <c r="M16" t="s">
        <v>781</v>
      </c>
      <c r="N16">
        <f t="shared" si="0"/>
        <v>16</v>
      </c>
      <c r="O16">
        <f t="shared" si="1"/>
        <v>5</v>
      </c>
    </row>
    <row r="17" spans="1:15" x14ac:dyDescent="0.3">
      <c r="A17" t="s">
        <v>744</v>
      </c>
      <c r="M17" t="s">
        <v>903</v>
      </c>
      <c r="N17">
        <f t="shared" si="0"/>
        <v>14</v>
      </c>
      <c r="O17">
        <f t="shared" si="1"/>
        <v>4</v>
      </c>
    </row>
    <row r="18" spans="1:15" x14ac:dyDescent="0.3">
      <c r="A18" t="s">
        <v>744</v>
      </c>
      <c r="M18" t="s">
        <v>909</v>
      </c>
      <c r="N18">
        <f t="shared" si="0"/>
        <v>14</v>
      </c>
      <c r="O18">
        <f t="shared" si="1"/>
        <v>3</v>
      </c>
    </row>
    <row r="19" spans="1:15" x14ac:dyDescent="0.3">
      <c r="A19" t="s">
        <v>775</v>
      </c>
      <c r="M19" t="s">
        <v>910</v>
      </c>
      <c r="N19">
        <f t="shared" si="0"/>
        <v>12</v>
      </c>
      <c r="O19">
        <f t="shared" si="1"/>
        <v>1</v>
      </c>
    </row>
    <row r="20" spans="1:15" x14ac:dyDescent="0.3">
      <c r="A20" t="s">
        <v>775</v>
      </c>
      <c r="B20" t="s">
        <v>795</v>
      </c>
      <c r="C20" t="s">
        <v>781</v>
      </c>
      <c r="M20" t="s">
        <v>797</v>
      </c>
      <c r="N20">
        <f t="shared" si="0"/>
        <v>10</v>
      </c>
      <c r="O20">
        <f t="shared" si="1"/>
        <v>4</v>
      </c>
    </row>
    <row r="21" spans="1:15" x14ac:dyDescent="0.3">
      <c r="A21" t="s">
        <v>777</v>
      </c>
      <c r="M21" t="s">
        <v>904</v>
      </c>
      <c r="N21">
        <f t="shared" si="0"/>
        <v>9</v>
      </c>
      <c r="O21">
        <f t="shared" si="1"/>
        <v>4</v>
      </c>
    </row>
    <row r="22" spans="1:15" x14ac:dyDescent="0.3">
      <c r="A22" t="s">
        <v>904</v>
      </c>
      <c r="B22" t="s">
        <v>777</v>
      </c>
      <c r="C22" t="s">
        <v>781</v>
      </c>
      <c r="D22" t="s">
        <v>810</v>
      </c>
      <c r="E22" t="s">
        <v>744</v>
      </c>
      <c r="M22" t="s">
        <v>787</v>
      </c>
      <c r="N22">
        <f t="shared" si="0"/>
        <v>9</v>
      </c>
      <c r="O22">
        <f t="shared" si="1"/>
        <v>4</v>
      </c>
    </row>
    <row r="23" spans="1:15" x14ac:dyDescent="0.3">
      <c r="A23" t="s">
        <v>904</v>
      </c>
      <c r="B23" t="s">
        <v>795</v>
      </c>
      <c r="C23" t="s">
        <v>787</v>
      </c>
      <c r="D23" t="s">
        <v>903</v>
      </c>
      <c r="E23" t="s">
        <v>777</v>
      </c>
      <c r="F23" t="s">
        <v>781</v>
      </c>
      <c r="G23" t="s">
        <v>810</v>
      </c>
      <c r="H23" t="s">
        <v>786</v>
      </c>
      <c r="I23" t="s">
        <v>775</v>
      </c>
      <c r="M23" t="s">
        <v>908</v>
      </c>
      <c r="N23">
        <f t="shared" si="0"/>
        <v>7</v>
      </c>
      <c r="O23">
        <f t="shared" si="1"/>
        <v>2</v>
      </c>
    </row>
    <row r="24" spans="1:15" x14ac:dyDescent="0.3">
      <c r="A24" t="s">
        <v>781</v>
      </c>
      <c r="M24" t="s">
        <v>907</v>
      </c>
      <c r="N24">
        <f t="shared" si="0"/>
        <v>5</v>
      </c>
      <c r="O24">
        <f t="shared" si="1"/>
        <v>1</v>
      </c>
    </row>
    <row r="25" spans="1:15" x14ac:dyDescent="0.3">
      <c r="A25" t="s">
        <v>903</v>
      </c>
      <c r="B25">
        <v>10</v>
      </c>
      <c r="M25" t="s">
        <v>834</v>
      </c>
      <c r="N25">
        <f t="shared" si="0"/>
        <v>4</v>
      </c>
      <c r="O25">
        <f t="shared" si="1"/>
        <v>3</v>
      </c>
    </row>
    <row r="26" spans="1:15" x14ac:dyDescent="0.3">
      <c r="A26" t="s">
        <v>744</v>
      </c>
      <c r="M26" t="s">
        <v>911</v>
      </c>
      <c r="N26">
        <f t="shared" si="0"/>
        <v>0</v>
      </c>
      <c r="O26">
        <f t="shared" si="1"/>
        <v>0</v>
      </c>
    </row>
    <row r="27" spans="1:15" x14ac:dyDescent="0.3">
      <c r="A27" t="s">
        <v>744</v>
      </c>
      <c r="B27" t="s">
        <v>777</v>
      </c>
      <c r="C27" t="s">
        <v>795</v>
      </c>
      <c r="M27" t="s">
        <v>912</v>
      </c>
      <c r="N27">
        <f t="shared" si="0"/>
        <v>0</v>
      </c>
      <c r="O27">
        <f t="shared" si="1"/>
        <v>0</v>
      </c>
    </row>
    <row r="28" spans="1:15" x14ac:dyDescent="0.3">
      <c r="A28" t="s">
        <v>795</v>
      </c>
      <c r="B28" t="s">
        <v>777</v>
      </c>
      <c r="M28" t="s">
        <v>913</v>
      </c>
      <c r="N28">
        <f t="shared" si="0"/>
        <v>0</v>
      </c>
      <c r="O28">
        <f t="shared" si="1"/>
        <v>0</v>
      </c>
    </row>
    <row r="29" spans="1:15" x14ac:dyDescent="0.3">
      <c r="A29" t="s">
        <v>786</v>
      </c>
      <c r="M29" t="s">
        <v>914</v>
      </c>
      <c r="N29">
        <f t="shared" si="0"/>
        <v>0</v>
      </c>
      <c r="O29">
        <f t="shared" si="1"/>
        <v>0</v>
      </c>
    </row>
    <row r="30" spans="1:15" x14ac:dyDescent="0.3">
      <c r="A30" t="s">
        <v>787</v>
      </c>
    </row>
    <row r="31" spans="1:15" x14ac:dyDescent="0.3">
      <c r="A31" t="s">
        <v>775</v>
      </c>
      <c r="B31" t="s">
        <v>786</v>
      </c>
      <c r="C31" t="s">
        <v>903</v>
      </c>
      <c r="D31" t="s">
        <v>777</v>
      </c>
    </row>
    <row r="32" spans="1:15" x14ac:dyDescent="0.3">
      <c r="A32" t="s">
        <v>775</v>
      </c>
      <c r="B32" t="s">
        <v>777</v>
      </c>
      <c r="C32" t="s">
        <v>904</v>
      </c>
    </row>
    <row r="33" spans="1:4" x14ac:dyDescent="0.3">
      <c r="A33" t="s">
        <v>810</v>
      </c>
      <c r="B33" t="s">
        <v>777</v>
      </c>
      <c r="C33" t="s">
        <v>795</v>
      </c>
      <c r="D33" t="s">
        <v>797</v>
      </c>
    </row>
    <row r="34" spans="1:4" x14ac:dyDescent="0.3">
      <c r="A34" t="s">
        <v>777</v>
      </c>
      <c r="B34" t="s">
        <v>775</v>
      </c>
      <c r="C34" t="s">
        <v>810</v>
      </c>
      <c r="D34" t="s">
        <v>786</v>
      </c>
    </row>
    <row r="35" spans="1:4" x14ac:dyDescent="0.3">
      <c r="A35" t="s">
        <v>775</v>
      </c>
    </row>
    <row r="36" spans="1:4" x14ac:dyDescent="0.3">
      <c r="A36" t="s">
        <v>781</v>
      </c>
    </row>
    <row r="37" spans="1:4" x14ac:dyDescent="0.3">
      <c r="A37" t="s">
        <v>775</v>
      </c>
    </row>
    <row r="38" spans="1:4" x14ac:dyDescent="0.3">
      <c r="A38" t="s">
        <v>903</v>
      </c>
      <c r="B38" t="s">
        <v>777</v>
      </c>
    </row>
    <row r="39" spans="1:4" x14ac:dyDescent="0.3">
      <c r="A39" t="s">
        <v>786</v>
      </c>
      <c r="B39" t="s">
        <v>777</v>
      </c>
      <c r="C39" t="s">
        <v>797</v>
      </c>
      <c r="D39" t="s">
        <v>904</v>
      </c>
    </row>
    <row r="40" spans="1:4" x14ac:dyDescent="0.3">
      <c r="A40" t="s">
        <v>744</v>
      </c>
      <c r="B40" t="s">
        <v>786</v>
      </c>
      <c r="C40" t="s">
        <v>777</v>
      </c>
    </row>
    <row r="41" spans="1:4" x14ac:dyDescent="0.3">
      <c r="A41" t="s">
        <v>781</v>
      </c>
    </row>
    <row r="42" spans="1:4" x14ac:dyDescent="0.3">
      <c r="A42" t="s">
        <v>777</v>
      </c>
    </row>
    <row r="43" spans="1:4" x14ac:dyDescent="0.3">
      <c r="A43" t="s">
        <v>777</v>
      </c>
    </row>
    <row r="44" spans="1:4" x14ac:dyDescent="0.3">
      <c r="A44" t="s">
        <v>775</v>
      </c>
    </row>
    <row r="45" spans="1:4" x14ac:dyDescent="0.3">
      <c r="A45" t="s">
        <v>795</v>
      </c>
    </row>
    <row r="46" spans="1:4" x14ac:dyDescent="0.3">
      <c r="A46" t="s">
        <v>744</v>
      </c>
    </row>
    <row r="47" spans="1:4" x14ac:dyDescent="0.3">
      <c r="A47" t="s">
        <v>777</v>
      </c>
    </row>
    <row r="48" spans="1:4" x14ac:dyDescent="0.3">
      <c r="A48" t="s">
        <v>797</v>
      </c>
    </row>
    <row r="49" spans="1:6" x14ac:dyDescent="0.3">
      <c r="A49" t="s">
        <v>775</v>
      </c>
    </row>
    <row r="50" spans="1:6" x14ac:dyDescent="0.3">
      <c r="A50" t="s">
        <v>795</v>
      </c>
      <c r="B50" t="s">
        <v>744</v>
      </c>
    </row>
    <row r="51" spans="1:6" x14ac:dyDescent="0.3">
      <c r="A51" t="s">
        <v>797</v>
      </c>
      <c r="B51" t="s">
        <v>777</v>
      </c>
      <c r="C51" t="s">
        <v>744</v>
      </c>
    </row>
    <row r="52" spans="1:6" x14ac:dyDescent="0.3">
      <c r="A52" t="s">
        <v>795</v>
      </c>
      <c r="B52" t="s">
        <v>781</v>
      </c>
      <c r="C52" t="s">
        <v>786</v>
      </c>
    </row>
    <row r="53" spans="1:6" x14ac:dyDescent="0.3">
      <c r="A53" t="s">
        <v>795</v>
      </c>
    </row>
    <row r="54" spans="1:6" x14ac:dyDescent="0.3">
      <c r="A54" t="s">
        <v>810</v>
      </c>
      <c r="B54" t="s">
        <v>786</v>
      </c>
      <c r="C54" t="s">
        <v>777</v>
      </c>
    </row>
    <row r="55" spans="1:6" x14ac:dyDescent="0.3">
      <c r="A55" t="s">
        <v>786</v>
      </c>
    </row>
    <row r="56" spans="1:6" x14ac:dyDescent="0.3">
      <c r="A56" t="s">
        <v>795</v>
      </c>
    </row>
    <row r="57" spans="1:6" x14ac:dyDescent="0.3">
      <c r="A57" t="s">
        <v>795</v>
      </c>
      <c r="B57" t="s">
        <v>777</v>
      </c>
      <c r="C57" t="s">
        <v>786</v>
      </c>
      <c r="D57" t="s">
        <v>775</v>
      </c>
      <c r="E57" t="s">
        <v>744</v>
      </c>
    </row>
    <row r="58" spans="1:6" x14ac:dyDescent="0.3">
      <c r="A58" t="s">
        <v>744</v>
      </c>
      <c r="B58" t="s">
        <v>777</v>
      </c>
      <c r="C58" t="s">
        <v>787</v>
      </c>
    </row>
    <row r="59" spans="1:6" x14ac:dyDescent="0.3">
      <c r="A59" t="s">
        <v>786</v>
      </c>
      <c r="B59" t="s">
        <v>775</v>
      </c>
      <c r="C59" t="s">
        <v>903</v>
      </c>
      <c r="D59" t="s">
        <v>795</v>
      </c>
    </row>
    <row r="60" spans="1:6" x14ac:dyDescent="0.3">
      <c r="A60" t="s">
        <v>795</v>
      </c>
      <c r="B60" t="s">
        <v>777</v>
      </c>
      <c r="C60" t="s">
        <v>786</v>
      </c>
    </row>
    <row r="61" spans="1:6" x14ac:dyDescent="0.3">
      <c r="A61" t="s">
        <v>795</v>
      </c>
      <c r="B61" t="s">
        <v>810</v>
      </c>
    </row>
    <row r="62" spans="1:6" x14ac:dyDescent="0.3">
      <c r="A62" t="s">
        <v>795</v>
      </c>
    </row>
    <row r="63" spans="1:6" x14ac:dyDescent="0.3">
      <c r="A63" t="s">
        <v>795</v>
      </c>
      <c r="B63" t="s">
        <v>810</v>
      </c>
      <c r="C63" t="s">
        <v>744</v>
      </c>
    </row>
    <row r="64" spans="1:6" x14ac:dyDescent="0.3">
      <c r="A64" t="s">
        <v>744</v>
      </c>
      <c r="B64" t="s">
        <v>775</v>
      </c>
      <c r="C64" t="s">
        <v>777</v>
      </c>
      <c r="D64" t="s">
        <v>786</v>
      </c>
      <c r="E64" t="s">
        <v>795</v>
      </c>
      <c r="F64" t="s">
        <v>904</v>
      </c>
    </row>
    <row r="65" spans="1:6" x14ac:dyDescent="0.3">
      <c r="A65" t="s">
        <v>810</v>
      </c>
      <c r="B65" t="s">
        <v>786</v>
      </c>
      <c r="C65" t="s">
        <v>777</v>
      </c>
    </row>
    <row r="66" spans="1:6" x14ac:dyDescent="0.3">
      <c r="A66" t="s">
        <v>777</v>
      </c>
      <c r="B66" t="s">
        <v>786</v>
      </c>
      <c r="C66" t="s">
        <v>775</v>
      </c>
      <c r="D66" t="s">
        <v>744</v>
      </c>
    </row>
    <row r="67" spans="1:6" x14ac:dyDescent="0.3">
      <c r="A67" t="s">
        <v>777</v>
      </c>
      <c r="B67" t="s">
        <v>795</v>
      </c>
      <c r="C67" t="s">
        <v>810</v>
      </c>
      <c r="D67" t="s">
        <v>775</v>
      </c>
      <c r="E67" t="s">
        <v>744</v>
      </c>
    </row>
    <row r="68" spans="1:6" x14ac:dyDescent="0.3">
      <c r="A68" t="s">
        <v>810</v>
      </c>
    </row>
    <row r="69" spans="1:6" x14ac:dyDescent="0.3">
      <c r="A69" t="s">
        <v>786</v>
      </c>
      <c r="B69" t="s">
        <v>795</v>
      </c>
    </row>
    <row r="70" spans="1:6" x14ac:dyDescent="0.3">
      <c r="A70" t="s">
        <v>786</v>
      </c>
      <c r="B70" t="s">
        <v>781</v>
      </c>
      <c r="C70" t="s">
        <v>777</v>
      </c>
      <c r="D70" t="s">
        <v>787</v>
      </c>
      <c r="E70" t="s">
        <v>795</v>
      </c>
    </row>
    <row r="71" spans="1:6" x14ac:dyDescent="0.3">
      <c r="A71" t="s">
        <v>904</v>
      </c>
      <c r="B71" t="s">
        <v>777</v>
      </c>
      <c r="C71" t="s">
        <v>786</v>
      </c>
      <c r="D71" t="s">
        <v>810</v>
      </c>
      <c r="E71" t="s">
        <v>775</v>
      </c>
      <c r="F71" t="s">
        <v>744</v>
      </c>
    </row>
    <row r="72" spans="1:6" x14ac:dyDescent="0.3">
      <c r="A72" t="s">
        <v>795</v>
      </c>
      <c r="B72" t="s">
        <v>810</v>
      </c>
      <c r="C72" t="s">
        <v>775</v>
      </c>
      <c r="D72" t="s">
        <v>744</v>
      </c>
    </row>
    <row r="73" spans="1:6" x14ac:dyDescent="0.3">
      <c r="A73" t="s">
        <v>786</v>
      </c>
      <c r="B73" t="s">
        <v>777</v>
      </c>
      <c r="C73" t="s">
        <v>795</v>
      </c>
    </row>
    <row r="74" spans="1:6" x14ac:dyDescent="0.3">
      <c r="A74" t="s">
        <v>903</v>
      </c>
      <c r="B74" t="s">
        <v>797</v>
      </c>
    </row>
    <row r="75" spans="1:6" x14ac:dyDescent="0.3">
      <c r="A75" t="s">
        <v>787</v>
      </c>
      <c r="B75" t="s">
        <v>781</v>
      </c>
      <c r="C75" t="s">
        <v>810</v>
      </c>
      <c r="D75" t="s">
        <v>775</v>
      </c>
      <c r="E75" t="s">
        <v>744</v>
      </c>
    </row>
    <row r="76" spans="1:6" x14ac:dyDescent="0.3">
      <c r="A76" t="s">
        <v>775</v>
      </c>
    </row>
    <row r="77" spans="1:6" x14ac:dyDescent="0.3">
      <c r="A77" t="s">
        <v>781</v>
      </c>
      <c r="B77" t="s">
        <v>903</v>
      </c>
      <c r="C77" t="s">
        <v>777</v>
      </c>
      <c r="D77" t="s">
        <v>775</v>
      </c>
      <c r="E77" t="s">
        <v>810</v>
      </c>
    </row>
    <row r="78" spans="1:6" x14ac:dyDescent="0.3">
      <c r="A78" t="s">
        <v>781</v>
      </c>
      <c r="B78" t="s">
        <v>904</v>
      </c>
    </row>
    <row r="79" spans="1:6" x14ac:dyDescent="0.3">
      <c r="A79" t="s">
        <v>744</v>
      </c>
      <c r="B79" t="s">
        <v>777</v>
      </c>
      <c r="C79" t="s">
        <v>775</v>
      </c>
      <c r="D79" t="s">
        <v>787</v>
      </c>
    </row>
    <row r="80" spans="1:6" x14ac:dyDescent="0.3">
      <c r="A80" t="s">
        <v>786</v>
      </c>
      <c r="B80" t="s">
        <v>777</v>
      </c>
      <c r="C80" t="s">
        <v>797</v>
      </c>
      <c r="D80" t="s">
        <v>904</v>
      </c>
    </row>
    <row r="81" spans="1:5" x14ac:dyDescent="0.3">
      <c r="A81" t="s">
        <v>775</v>
      </c>
      <c r="B81" t="s">
        <v>810</v>
      </c>
      <c r="C81" t="s">
        <v>903</v>
      </c>
    </row>
    <row r="82" spans="1:5" x14ac:dyDescent="0.3">
      <c r="A82" t="s">
        <v>744</v>
      </c>
      <c r="B82" t="s">
        <v>786</v>
      </c>
      <c r="C82" t="s">
        <v>777</v>
      </c>
      <c r="D82" t="s">
        <v>795</v>
      </c>
    </row>
    <row r="83" spans="1:5" x14ac:dyDescent="0.3">
      <c r="A83" t="s">
        <v>744</v>
      </c>
      <c r="B83" t="s">
        <v>786</v>
      </c>
      <c r="C83" t="s">
        <v>775</v>
      </c>
      <c r="D83" t="s">
        <v>795</v>
      </c>
      <c r="E83" t="s">
        <v>797</v>
      </c>
    </row>
    <row r="84" spans="1:5" x14ac:dyDescent="0.3">
      <c r="A84" t="s">
        <v>795</v>
      </c>
      <c r="B84" t="s">
        <v>786</v>
      </c>
      <c r="C84" t="s">
        <v>775</v>
      </c>
      <c r="D84" t="s">
        <v>744</v>
      </c>
    </row>
    <row r="85" spans="1:5" x14ac:dyDescent="0.3">
      <c r="A85" t="s">
        <v>795</v>
      </c>
      <c r="B85" t="s">
        <v>777</v>
      </c>
    </row>
    <row r="86" spans="1:5" x14ac:dyDescent="0.3">
      <c r="A86" t="s">
        <v>810</v>
      </c>
    </row>
    <row r="87" spans="1:5" x14ac:dyDescent="0.3">
      <c r="A87" t="s">
        <v>795</v>
      </c>
    </row>
    <row r="88" spans="1:5" x14ac:dyDescent="0.3">
      <c r="A88" t="s">
        <v>744</v>
      </c>
      <c r="B88" t="s">
        <v>777</v>
      </c>
      <c r="C88" t="s">
        <v>795</v>
      </c>
    </row>
    <row r="89" spans="1:5" x14ac:dyDescent="0.3">
      <c r="A89" t="s">
        <v>786</v>
      </c>
      <c r="B89" t="s">
        <v>777</v>
      </c>
      <c r="C89" t="s">
        <v>795</v>
      </c>
    </row>
    <row r="90" spans="1:5" x14ac:dyDescent="0.3">
      <c r="A90" t="s">
        <v>787</v>
      </c>
      <c r="B90" t="s">
        <v>781</v>
      </c>
      <c r="C90" t="s">
        <v>775</v>
      </c>
      <c r="D90" t="s">
        <v>744</v>
      </c>
    </row>
    <row r="91" spans="1:5" x14ac:dyDescent="0.3">
      <c r="A91" t="s">
        <v>775</v>
      </c>
      <c r="B91" t="s">
        <v>777</v>
      </c>
      <c r="C91" t="s">
        <v>903</v>
      </c>
      <c r="D91" t="s">
        <v>781</v>
      </c>
    </row>
    <row r="92" spans="1:5" x14ac:dyDescent="0.3">
      <c r="A92" t="s">
        <v>744</v>
      </c>
    </row>
    <row r="93" spans="1:5" x14ac:dyDescent="0.3">
      <c r="A93" t="s">
        <v>838</v>
      </c>
      <c r="B93" t="s">
        <v>906</v>
      </c>
      <c r="C93" t="s">
        <v>830</v>
      </c>
      <c r="D93" t="s">
        <v>766</v>
      </c>
      <c r="E93" t="s">
        <v>908</v>
      </c>
    </row>
    <row r="94" spans="1:5" x14ac:dyDescent="0.3">
      <c r="A94" t="s">
        <v>838</v>
      </c>
      <c r="B94" t="s">
        <v>761</v>
      </c>
    </row>
    <row r="95" spans="1:5" x14ac:dyDescent="0.3">
      <c r="A95" t="s">
        <v>761</v>
      </c>
    </row>
    <row r="96" spans="1:5" x14ac:dyDescent="0.3">
      <c r="A96" t="s">
        <v>829</v>
      </c>
    </row>
    <row r="97" spans="1:12" x14ac:dyDescent="0.3">
      <c r="A97" t="s">
        <v>834</v>
      </c>
    </row>
    <row r="98" spans="1:12" x14ac:dyDescent="0.3">
      <c r="A98" t="s">
        <v>830</v>
      </c>
    </row>
    <row r="99" spans="1:12" x14ac:dyDescent="0.3">
      <c r="A99" t="s">
        <v>838</v>
      </c>
      <c r="B99" t="s">
        <v>744</v>
      </c>
    </row>
    <row r="100" spans="1:12" x14ac:dyDescent="0.3">
      <c r="A100" t="s">
        <v>761</v>
      </c>
      <c r="B100" t="s">
        <v>907</v>
      </c>
      <c r="C100" t="s">
        <v>906</v>
      </c>
      <c r="D100" t="s">
        <v>915</v>
      </c>
      <c r="E100" t="s">
        <v>830</v>
      </c>
      <c r="F100" t="s">
        <v>838</v>
      </c>
      <c r="G100" t="s">
        <v>829</v>
      </c>
      <c r="H100" t="s">
        <v>910</v>
      </c>
      <c r="I100" t="s">
        <v>766</v>
      </c>
      <c r="J100" t="s">
        <v>744</v>
      </c>
      <c r="L100" t="s">
        <v>905</v>
      </c>
    </row>
    <row r="101" spans="1:12" x14ac:dyDescent="0.3">
      <c r="A101" t="s">
        <v>830</v>
      </c>
    </row>
    <row r="102" spans="1:12" x14ac:dyDescent="0.3">
      <c r="A102" t="s">
        <v>830</v>
      </c>
    </row>
    <row r="103" spans="1:12" x14ac:dyDescent="0.3">
      <c r="A103" t="s">
        <v>829</v>
      </c>
      <c r="B103" t="s">
        <v>910</v>
      </c>
      <c r="C103" t="s">
        <v>909</v>
      </c>
    </row>
    <row r="104" spans="1:12" x14ac:dyDescent="0.3">
      <c r="A104" t="s">
        <v>838</v>
      </c>
    </row>
    <row r="105" spans="1:12" x14ac:dyDescent="0.3">
      <c r="A105" t="s">
        <v>830</v>
      </c>
      <c r="B105" t="s">
        <v>906</v>
      </c>
      <c r="C105" t="s">
        <v>761</v>
      </c>
    </row>
    <row r="106" spans="1:12" x14ac:dyDescent="0.3">
      <c r="A106" t="s">
        <v>744</v>
      </c>
      <c r="B106" t="s">
        <v>829</v>
      </c>
      <c r="C106" t="s">
        <v>910</v>
      </c>
    </row>
    <row r="107" spans="1:12" x14ac:dyDescent="0.3">
      <c r="A107" t="s">
        <v>761</v>
      </c>
      <c r="B107" t="s">
        <v>830</v>
      </c>
    </row>
    <row r="108" spans="1:12" x14ac:dyDescent="0.3">
      <c r="A108" t="s">
        <v>761</v>
      </c>
      <c r="B108" t="s">
        <v>838</v>
      </c>
      <c r="C108" t="s">
        <v>744</v>
      </c>
    </row>
    <row r="109" spans="1:12" x14ac:dyDescent="0.3">
      <c r="A109" t="s">
        <v>838</v>
      </c>
      <c r="B109" t="s">
        <v>829</v>
      </c>
      <c r="C109" t="s">
        <v>910</v>
      </c>
      <c r="D109" t="s">
        <v>744</v>
      </c>
    </row>
    <row r="110" spans="1:12" x14ac:dyDescent="0.3">
      <c r="A110" t="s">
        <v>766</v>
      </c>
    </row>
    <row r="111" spans="1:12" x14ac:dyDescent="0.3">
      <c r="A111" t="s">
        <v>838</v>
      </c>
    </row>
    <row r="112" spans="1:12" x14ac:dyDescent="0.3">
      <c r="A112" t="s">
        <v>838</v>
      </c>
      <c r="B112" t="s">
        <v>744</v>
      </c>
    </row>
    <row r="113" spans="1:4" x14ac:dyDescent="0.3">
      <c r="A113" t="s">
        <v>838</v>
      </c>
      <c r="B113" t="s">
        <v>909</v>
      </c>
    </row>
    <row r="114" spans="1:4" x14ac:dyDescent="0.3">
      <c r="A114" t="s">
        <v>766</v>
      </c>
      <c r="B114" t="s">
        <v>915</v>
      </c>
      <c r="C114" t="s">
        <v>906</v>
      </c>
      <c r="D114" t="s">
        <v>761</v>
      </c>
    </row>
    <row r="115" spans="1:4" x14ac:dyDescent="0.3">
      <c r="A115" t="s">
        <v>744</v>
      </c>
      <c r="B115" t="s">
        <v>766</v>
      </c>
      <c r="C115" t="s">
        <v>906</v>
      </c>
      <c r="D115" t="s">
        <v>761</v>
      </c>
    </row>
    <row r="116" spans="1:4" x14ac:dyDescent="0.3">
      <c r="A116" t="s">
        <v>906</v>
      </c>
      <c r="B116" t="s">
        <v>761</v>
      </c>
      <c r="C116" t="s">
        <v>829</v>
      </c>
      <c r="D116" t="s">
        <v>910</v>
      </c>
    </row>
    <row r="117" spans="1:4" x14ac:dyDescent="0.3">
      <c r="A117" t="s">
        <v>829</v>
      </c>
      <c r="B117" t="s">
        <v>910</v>
      </c>
      <c r="C117" t="s">
        <v>766</v>
      </c>
    </row>
    <row r="118" spans="1:4" x14ac:dyDescent="0.3">
      <c r="A118" t="s">
        <v>834</v>
      </c>
    </row>
    <row r="119" spans="1:4" x14ac:dyDescent="0.3">
      <c r="A119" t="s">
        <v>830</v>
      </c>
      <c r="B119" t="s">
        <v>906</v>
      </c>
      <c r="C119" t="s">
        <v>761</v>
      </c>
    </row>
    <row r="120" spans="1:4" x14ac:dyDescent="0.3">
      <c r="A120" t="s">
        <v>906</v>
      </c>
      <c r="B120" t="s">
        <v>829</v>
      </c>
      <c r="C120" t="s">
        <v>910</v>
      </c>
    </row>
    <row r="121" spans="1:4" x14ac:dyDescent="0.3">
      <c r="A121" t="s">
        <v>906</v>
      </c>
      <c r="B121" t="s">
        <v>829</v>
      </c>
      <c r="C121" t="s">
        <v>910</v>
      </c>
    </row>
    <row r="122" spans="1:4" x14ac:dyDescent="0.3">
      <c r="A122" t="s">
        <v>761</v>
      </c>
    </row>
    <row r="123" spans="1:4" x14ac:dyDescent="0.3">
      <c r="A123" t="s">
        <v>766</v>
      </c>
    </row>
    <row r="124" spans="1:4" x14ac:dyDescent="0.3">
      <c r="A124" t="s">
        <v>838</v>
      </c>
    </row>
    <row r="125" spans="1:4" x14ac:dyDescent="0.3">
      <c r="A125" t="s">
        <v>744</v>
      </c>
    </row>
    <row r="126" spans="1:4" x14ac:dyDescent="0.3">
      <c r="A126" t="s">
        <v>829</v>
      </c>
      <c r="B126" t="s">
        <v>910</v>
      </c>
    </row>
    <row r="127" spans="1:4" x14ac:dyDescent="0.3">
      <c r="A127" t="s">
        <v>761</v>
      </c>
    </row>
    <row r="128" spans="1:4" x14ac:dyDescent="0.3">
      <c r="A128" t="s">
        <v>766</v>
      </c>
      <c r="B128" t="s">
        <v>908</v>
      </c>
    </row>
    <row r="129" spans="1:5" x14ac:dyDescent="0.3">
      <c r="A129" t="s">
        <v>838</v>
      </c>
    </row>
    <row r="130" spans="1:5" x14ac:dyDescent="0.3">
      <c r="A130" t="s">
        <v>838</v>
      </c>
    </row>
    <row r="131" spans="1:5" x14ac:dyDescent="0.3">
      <c r="A131" t="s">
        <v>838</v>
      </c>
    </row>
    <row r="132" spans="1:5" x14ac:dyDescent="0.3">
      <c r="A132" t="s">
        <v>744</v>
      </c>
      <c r="B132" t="s">
        <v>907</v>
      </c>
    </row>
    <row r="133" spans="1:5" x14ac:dyDescent="0.3">
      <c r="A133" t="s">
        <v>838</v>
      </c>
      <c r="B133" t="s">
        <v>744</v>
      </c>
    </row>
    <row r="134" spans="1:5" x14ac:dyDescent="0.3">
      <c r="A134" t="s">
        <v>766</v>
      </c>
      <c r="B134" t="s">
        <v>838</v>
      </c>
      <c r="C134" t="s">
        <v>915</v>
      </c>
    </row>
    <row r="135" spans="1:5" x14ac:dyDescent="0.3">
      <c r="A135" t="s">
        <v>829</v>
      </c>
      <c r="B135" t="s">
        <v>910</v>
      </c>
      <c r="C135" t="s">
        <v>766</v>
      </c>
    </row>
    <row r="136" spans="1:5" x14ac:dyDescent="0.3">
      <c r="A136" t="s">
        <v>744</v>
      </c>
      <c r="B136" t="s">
        <v>766</v>
      </c>
      <c r="C136" t="s">
        <v>830</v>
      </c>
    </row>
    <row r="137" spans="1:5" x14ac:dyDescent="0.3">
      <c r="A137" t="s">
        <v>830</v>
      </c>
      <c r="B137" t="s">
        <v>838</v>
      </c>
      <c r="C137" t="s">
        <v>906</v>
      </c>
      <c r="D137" t="s">
        <v>907</v>
      </c>
      <c r="E137" t="s">
        <v>761</v>
      </c>
    </row>
    <row r="138" spans="1:5" x14ac:dyDescent="0.3">
      <c r="A138" t="s">
        <v>766</v>
      </c>
      <c r="B138" t="s">
        <v>909</v>
      </c>
    </row>
    <row r="139" spans="1:5" x14ac:dyDescent="0.3">
      <c r="A139" t="s">
        <v>761</v>
      </c>
      <c r="B139" t="s">
        <v>830</v>
      </c>
      <c r="C139" t="s">
        <v>838</v>
      </c>
    </row>
    <row r="140" spans="1:5" x14ac:dyDescent="0.3">
      <c r="A140" t="s">
        <v>907</v>
      </c>
      <c r="B140" t="s">
        <v>830</v>
      </c>
      <c r="C140" t="s">
        <v>766</v>
      </c>
    </row>
    <row r="141" spans="1:5" x14ac:dyDescent="0.3">
      <c r="A141" t="s">
        <v>838</v>
      </c>
    </row>
    <row r="142" spans="1:5" x14ac:dyDescent="0.3">
      <c r="A142" t="s">
        <v>766</v>
      </c>
    </row>
    <row r="143" spans="1:5" x14ac:dyDescent="0.3">
      <c r="A143" t="s">
        <v>908</v>
      </c>
      <c r="B143" t="s">
        <v>906</v>
      </c>
      <c r="C143" t="s">
        <v>829</v>
      </c>
    </row>
    <row r="144" spans="1:5" x14ac:dyDescent="0.3">
      <c r="A144" t="s">
        <v>829</v>
      </c>
      <c r="B144" t="s">
        <v>766</v>
      </c>
      <c r="C144" t="s">
        <v>908</v>
      </c>
    </row>
    <row r="145" spans="1:8" x14ac:dyDescent="0.3">
      <c r="A145" t="s">
        <v>766</v>
      </c>
      <c r="B145" t="s">
        <v>830</v>
      </c>
      <c r="C145" t="s">
        <v>838</v>
      </c>
      <c r="D145" t="s">
        <v>915</v>
      </c>
      <c r="E145" t="s">
        <v>906</v>
      </c>
      <c r="F145" t="s">
        <v>761</v>
      </c>
      <c r="G145" t="s">
        <v>909</v>
      </c>
      <c r="H145" t="s">
        <v>910</v>
      </c>
    </row>
    <row r="146" spans="1:8" x14ac:dyDescent="0.3">
      <c r="A146" t="s">
        <v>906</v>
      </c>
      <c r="B146" t="s">
        <v>907</v>
      </c>
      <c r="C146" t="s">
        <v>909</v>
      </c>
    </row>
    <row r="147" spans="1:8" x14ac:dyDescent="0.3">
      <c r="A147" t="s">
        <v>830</v>
      </c>
      <c r="B147" t="s">
        <v>915</v>
      </c>
      <c r="C147" t="s">
        <v>829</v>
      </c>
      <c r="D147" t="s">
        <v>838</v>
      </c>
    </row>
    <row r="148" spans="1:8" x14ac:dyDescent="0.3">
      <c r="A148" t="s">
        <v>744</v>
      </c>
      <c r="B148" t="s">
        <v>838</v>
      </c>
      <c r="C148" t="s">
        <v>919</v>
      </c>
    </row>
    <row r="149" spans="1:8" x14ac:dyDescent="0.3">
      <c r="A149" t="s">
        <v>761</v>
      </c>
      <c r="B149" t="s">
        <v>838</v>
      </c>
      <c r="C149" t="s">
        <v>766</v>
      </c>
    </row>
    <row r="150" spans="1:8" x14ac:dyDescent="0.3">
      <c r="A150" t="s">
        <v>830</v>
      </c>
      <c r="B150" t="s">
        <v>915</v>
      </c>
    </row>
    <row r="151" spans="1:8" x14ac:dyDescent="0.3">
      <c r="A151" t="s">
        <v>829</v>
      </c>
    </row>
    <row r="152" spans="1:8" x14ac:dyDescent="0.3">
      <c r="A152" t="s">
        <v>766</v>
      </c>
      <c r="B152" t="s">
        <v>830</v>
      </c>
      <c r="C152" t="s">
        <v>761</v>
      </c>
    </row>
    <row r="153" spans="1:8" x14ac:dyDescent="0.3">
      <c r="A153" t="s">
        <v>766</v>
      </c>
      <c r="B153" t="s">
        <v>838</v>
      </c>
      <c r="C153" t="s">
        <v>761</v>
      </c>
    </row>
    <row r="154" spans="1:8" x14ac:dyDescent="0.3">
      <c r="A154" t="s">
        <v>744</v>
      </c>
      <c r="B154" t="s">
        <v>908</v>
      </c>
      <c r="C154" t="s">
        <v>909</v>
      </c>
    </row>
    <row r="155" spans="1:8" x14ac:dyDescent="0.3">
      <c r="A155" t="s">
        <v>909</v>
      </c>
      <c r="B155" t="s">
        <v>761</v>
      </c>
      <c r="C155" t="s">
        <v>906</v>
      </c>
      <c r="D155" t="s">
        <v>838</v>
      </c>
      <c r="E155" t="s">
        <v>830</v>
      </c>
      <c r="F155" t="s">
        <v>829</v>
      </c>
    </row>
    <row r="156" spans="1:8" x14ac:dyDescent="0.3">
      <c r="A156" t="s">
        <v>910</v>
      </c>
      <c r="B156" t="s">
        <v>838</v>
      </c>
    </row>
    <row r="157" spans="1:8" x14ac:dyDescent="0.3">
      <c r="A157" t="s">
        <v>744</v>
      </c>
      <c r="B157" t="s">
        <v>761</v>
      </c>
      <c r="C157" t="s">
        <v>834</v>
      </c>
    </row>
    <row r="158" spans="1:8" x14ac:dyDescent="0.3">
      <c r="A158" t="s">
        <v>766</v>
      </c>
      <c r="B158" t="s">
        <v>829</v>
      </c>
      <c r="C158" t="s">
        <v>838</v>
      </c>
      <c r="D158" t="s">
        <v>915</v>
      </c>
      <c r="E158" t="s">
        <v>906</v>
      </c>
      <c r="F158" t="s">
        <v>761</v>
      </c>
    </row>
    <row r="159" spans="1:8" x14ac:dyDescent="0.3">
      <c r="A159" t="s">
        <v>838</v>
      </c>
      <c r="B159" t="s">
        <v>830</v>
      </c>
      <c r="C159" t="s">
        <v>915</v>
      </c>
      <c r="D159" t="s">
        <v>909</v>
      </c>
    </row>
    <row r="160" spans="1:8" x14ac:dyDescent="0.3">
      <c r="A160" t="s">
        <v>838</v>
      </c>
      <c r="B160" t="s">
        <v>744</v>
      </c>
    </row>
    <row r="161" spans="1:6" x14ac:dyDescent="0.3">
      <c r="A161" t="s">
        <v>838</v>
      </c>
      <c r="B161" t="s">
        <v>761</v>
      </c>
      <c r="C161" t="s">
        <v>909</v>
      </c>
    </row>
    <row r="162" spans="1:6" x14ac:dyDescent="0.3">
      <c r="A162" t="s">
        <v>909</v>
      </c>
      <c r="B162" t="s">
        <v>830</v>
      </c>
      <c r="C162" t="s">
        <v>915</v>
      </c>
      <c r="D162" t="s">
        <v>766</v>
      </c>
    </row>
    <row r="163" spans="1:6" x14ac:dyDescent="0.3">
      <c r="A163" t="s">
        <v>829</v>
      </c>
      <c r="B163" t="s">
        <v>830</v>
      </c>
      <c r="C163" t="s">
        <v>915</v>
      </c>
    </row>
    <row r="164" spans="1:6" x14ac:dyDescent="0.3">
      <c r="A164" t="s">
        <v>761</v>
      </c>
      <c r="B164" t="s">
        <v>830</v>
      </c>
      <c r="C164" t="s">
        <v>915</v>
      </c>
      <c r="D164" t="s">
        <v>766</v>
      </c>
      <c r="E164" t="s">
        <v>744</v>
      </c>
      <c r="F164" t="s">
        <v>908</v>
      </c>
    </row>
    <row r="165" spans="1:6" x14ac:dyDescent="0.3">
      <c r="A165" t="s">
        <v>766</v>
      </c>
      <c r="B165" t="s">
        <v>838</v>
      </c>
      <c r="C165" t="s">
        <v>906</v>
      </c>
    </row>
    <row r="166" spans="1:6" x14ac:dyDescent="0.3">
      <c r="A166" t="s">
        <v>744</v>
      </c>
      <c r="B166" t="s">
        <v>830</v>
      </c>
      <c r="C166" t="s">
        <v>838</v>
      </c>
    </row>
    <row r="167" spans="1:6" x14ac:dyDescent="0.3">
      <c r="A167" t="s">
        <v>766</v>
      </c>
      <c r="B167" t="s">
        <v>838</v>
      </c>
    </row>
    <row r="168" spans="1:6" x14ac:dyDescent="0.3">
      <c r="A168" t="s">
        <v>761</v>
      </c>
      <c r="B168" t="s">
        <v>906</v>
      </c>
      <c r="C168" t="s">
        <v>830</v>
      </c>
      <c r="D168" t="s">
        <v>915</v>
      </c>
      <c r="E168" t="s">
        <v>838</v>
      </c>
    </row>
    <row r="169" spans="1:6" x14ac:dyDescent="0.3">
      <c r="A169" t="s">
        <v>838</v>
      </c>
      <c r="B169" t="s">
        <v>829</v>
      </c>
    </row>
    <row r="170" spans="1:6" x14ac:dyDescent="0.3">
      <c r="A170" t="s">
        <v>830</v>
      </c>
      <c r="B170" t="s">
        <v>915</v>
      </c>
      <c r="C170" t="s">
        <v>906</v>
      </c>
      <c r="D170" t="s">
        <v>761</v>
      </c>
      <c r="E170" t="s">
        <v>909</v>
      </c>
    </row>
    <row r="171" spans="1:6" x14ac:dyDescent="0.3">
      <c r="A171" t="s">
        <v>838</v>
      </c>
      <c r="B171" t="s">
        <v>766</v>
      </c>
    </row>
    <row r="172" spans="1:6" x14ac:dyDescent="0.3">
      <c r="A172" t="s">
        <v>744</v>
      </c>
      <c r="B172" t="s">
        <v>766</v>
      </c>
      <c r="C172" t="s">
        <v>830</v>
      </c>
      <c r="D172" t="s">
        <v>915</v>
      </c>
      <c r="E172" t="s">
        <v>909</v>
      </c>
    </row>
    <row r="173" spans="1:6" x14ac:dyDescent="0.3">
      <c r="A173" t="s">
        <v>834</v>
      </c>
      <c r="B173" t="s">
        <v>761</v>
      </c>
      <c r="C173" t="s">
        <v>838</v>
      </c>
      <c r="D173" t="s">
        <v>830</v>
      </c>
    </row>
    <row r="174" spans="1:6" x14ac:dyDescent="0.3">
      <c r="A174" t="s">
        <v>838</v>
      </c>
      <c r="B174" t="s">
        <v>830</v>
      </c>
      <c r="C174" t="s">
        <v>915</v>
      </c>
    </row>
    <row r="175" spans="1:6" x14ac:dyDescent="0.3">
      <c r="A175" t="s">
        <v>766</v>
      </c>
      <c r="B175" t="s">
        <v>761</v>
      </c>
      <c r="C175" t="s">
        <v>829</v>
      </c>
    </row>
    <row r="176" spans="1:6" x14ac:dyDescent="0.3">
      <c r="A176" t="s">
        <v>908</v>
      </c>
      <c r="B176" t="s">
        <v>766</v>
      </c>
    </row>
    <row r="177" spans="1:7" x14ac:dyDescent="0.3">
      <c r="A177" t="s">
        <v>766</v>
      </c>
      <c r="B177" t="s">
        <v>830</v>
      </c>
      <c r="C177" t="s">
        <v>915</v>
      </c>
      <c r="D177" t="s">
        <v>761</v>
      </c>
    </row>
    <row r="178" spans="1:7" x14ac:dyDescent="0.3">
      <c r="A178" t="s">
        <v>766</v>
      </c>
      <c r="B178" t="s">
        <v>830</v>
      </c>
      <c r="C178" t="s">
        <v>829</v>
      </c>
    </row>
    <row r="179" spans="1:7" x14ac:dyDescent="0.3">
      <c r="A179" t="s">
        <v>744</v>
      </c>
      <c r="B179" t="s">
        <v>829</v>
      </c>
      <c r="C179" t="s">
        <v>838</v>
      </c>
    </row>
    <row r="180" spans="1:7" x14ac:dyDescent="0.3">
      <c r="A180" t="s">
        <v>838</v>
      </c>
      <c r="B180" t="s">
        <v>830</v>
      </c>
      <c r="C180" t="s">
        <v>915</v>
      </c>
      <c r="D180" t="s">
        <v>830</v>
      </c>
      <c r="E180" t="s">
        <v>909</v>
      </c>
      <c r="F180" t="s">
        <v>829</v>
      </c>
      <c r="G180" t="s">
        <v>766</v>
      </c>
    </row>
    <row r="181" spans="1:7" x14ac:dyDescent="0.3">
      <c r="A181" t="s">
        <v>766</v>
      </c>
      <c r="B181" t="s">
        <v>829</v>
      </c>
    </row>
    <row r="182" spans="1:7" x14ac:dyDescent="0.3">
      <c r="A182" t="s">
        <v>838</v>
      </c>
    </row>
    <row r="183" spans="1:7" x14ac:dyDescent="0.3">
      <c r="A183" t="s">
        <v>909</v>
      </c>
      <c r="B183" t="s">
        <v>906</v>
      </c>
    </row>
  </sheetData>
  <autoFilter ref="M2:O29" xr:uid="{6CA8F349-2C24-42A2-9FC5-4A750A328525}">
    <sortState xmlns:xlrd2="http://schemas.microsoft.com/office/spreadsheetml/2017/richdata2" ref="M3:O29">
      <sortCondition descending="1" ref="N2:N29"/>
    </sortState>
  </autoFilter>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6DDC9B-0DA5-4016-8FDF-0DD72DFE52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Combined</vt:lpstr>
      <vt:lpstr>Map B</vt:lpstr>
      <vt:lpstr>Map A - og</vt:lpstr>
      <vt:lpstr>DM Input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Marquess</dc:creator>
  <cp:lastModifiedBy>Daniel Marquess</cp:lastModifiedBy>
  <dcterms:created xsi:type="dcterms:W3CDTF">2026-03-10T14:54:25Z</dcterms:created>
  <dcterms:modified xsi:type="dcterms:W3CDTF">2026-04-02T20:29:02Z</dcterms:modified>
</cp:coreProperties>
</file>