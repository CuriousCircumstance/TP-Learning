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ntru-my.sharepoint.com/personal/daniel_marquess_fintru_com/Documents/Documents/Talent Pool/Python/"/>
    </mc:Choice>
  </mc:AlternateContent>
  <xr:revisionPtr revIDLastSave="319" documentId="8_{594C07D0-44E4-43AA-94C1-B0DD1B82AB84}" xr6:coauthVersionLast="47" xr6:coauthVersionMax="47" xr10:uidLastSave="{C043C130-BC70-4239-A989-D894686BEB92}"/>
  <bookViews>
    <workbookView xWindow="-108" yWindow="-108" windowWidth="23256" windowHeight="12456" activeTab="4" xr2:uid="{7D18F49D-3760-4239-9878-5DED59F96984}"/>
  </bookViews>
  <sheets>
    <sheet name="Sheet1 (2)" sheetId="3" r:id="rId1"/>
    <sheet name="Sheet2 (2)" sheetId="4" r:id="rId2"/>
    <sheet name="Sheet1" sheetId="1" r:id="rId3"/>
    <sheet name="Sheet2" sheetId="2" r:id="rId4"/>
    <sheet name="Sheet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5" l="1"/>
  <c r="K16" i="5"/>
  <c r="K15" i="5"/>
  <c r="D15" i="5"/>
  <c r="K14" i="5"/>
  <c r="D14" i="5"/>
  <c r="K13" i="5"/>
  <c r="D13" i="5"/>
  <c r="K12" i="5"/>
  <c r="D12" i="5"/>
  <c r="K11" i="5"/>
  <c r="D11" i="5"/>
  <c r="K10" i="5"/>
  <c r="D10" i="5"/>
  <c r="B2" i="5" s="1"/>
  <c r="B3" i="5" s="1"/>
  <c r="K9" i="5"/>
  <c r="I5" i="5" s="1"/>
  <c r="D9" i="5"/>
  <c r="I5" i="2"/>
  <c r="I4" i="2"/>
  <c r="I3" i="2"/>
  <c r="G18" i="4"/>
  <c r="H18" i="4"/>
  <c r="I18" i="4"/>
  <c r="J18" i="4"/>
  <c r="G19" i="4"/>
  <c r="H19" i="4"/>
  <c r="I19" i="4"/>
  <c r="J19" i="4"/>
  <c r="G20" i="4"/>
  <c r="H20" i="4"/>
  <c r="I20" i="4"/>
  <c r="J20" i="4"/>
  <c r="G21" i="4"/>
  <c r="H21" i="4"/>
  <c r="I21" i="4"/>
  <c r="J21" i="4"/>
  <c r="F19" i="4"/>
  <c r="F20" i="4"/>
  <c r="F21" i="4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12" i="1"/>
  <c r="F18" i="4"/>
  <c r="N15" i="4"/>
  <c r="N16" i="4"/>
  <c r="O16" i="4" s="1"/>
  <c r="P16" i="4" s="1"/>
  <c r="N17" i="4"/>
  <c r="N14" i="4"/>
  <c r="O14" i="4" s="1"/>
  <c r="O15" i="4"/>
  <c r="P15" i="4" s="1"/>
  <c r="O17" i="4"/>
  <c r="P17" i="4" s="1"/>
  <c r="D2" i="4"/>
  <c r="G2" i="4" s="1"/>
  <c r="D3" i="4"/>
  <c r="G3" i="4" s="1"/>
  <c r="D4" i="4"/>
  <c r="G4" i="4" s="1"/>
  <c r="D5" i="4"/>
  <c r="G5" i="4" s="1"/>
  <c r="B6" i="3"/>
  <c r="C10" i="3"/>
  <c r="E10" i="3"/>
  <c r="G10" i="3"/>
  <c r="J21" i="3"/>
  <c r="H22" i="3"/>
  <c r="H25" i="3"/>
  <c r="I25" i="3"/>
  <c r="B5" i="5" l="1"/>
  <c r="B4" i="5"/>
  <c r="I2" i="5" s="1"/>
  <c r="I4" i="5" s="1"/>
  <c r="I6" i="5" s="1"/>
  <c r="P14" i="4"/>
  <c r="Q16" i="4" l="1"/>
  <c r="R16" i="4" s="1"/>
  <c r="Q17" i="4"/>
  <c r="R17" i="4" s="1"/>
  <c r="Q14" i="4"/>
  <c r="R14" i="4" s="1"/>
  <c r="Q15" i="4"/>
  <c r="R15" i="4" s="1"/>
</calcChain>
</file>

<file path=xl/sharedStrings.xml><?xml version="1.0" encoding="utf-8"?>
<sst xmlns="http://schemas.openxmlformats.org/spreadsheetml/2006/main" count="272" uniqueCount="170">
  <si>
    <t>PC</t>
  </si>
  <si>
    <t>Level</t>
  </si>
  <si>
    <t>STR</t>
  </si>
  <si>
    <t>DEX</t>
  </si>
  <si>
    <t>CON</t>
  </si>
  <si>
    <t>INT</t>
  </si>
  <si>
    <t>WIS</t>
  </si>
  <si>
    <t>CHA</t>
  </si>
  <si>
    <t>Perception</t>
  </si>
  <si>
    <t>Stealth</t>
  </si>
  <si>
    <t>Arcana</t>
  </si>
  <si>
    <t>Occultism</t>
  </si>
  <si>
    <t>Nature</t>
  </si>
  <si>
    <t>Religion</t>
  </si>
  <si>
    <t>Untrained</t>
  </si>
  <si>
    <t>Trained</t>
  </si>
  <si>
    <t>Phil</t>
  </si>
  <si>
    <t>Paddi</t>
  </si>
  <si>
    <t>John</t>
  </si>
  <si>
    <t>Expert</t>
  </si>
  <si>
    <t>Deception</t>
  </si>
  <si>
    <t>Leader Slain</t>
  </si>
  <si>
    <t>Sickened</t>
  </si>
  <si>
    <t>Fear</t>
  </si>
  <si>
    <t>First Kill</t>
  </si>
  <si>
    <t>First Blood</t>
  </si>
  <si>
    <t>Favourable Crit</t>
  </si>
  <si>
    <t>Leadership</t>
  </si>
  <si>
    <t>Trickery</t>
  </si>
  <si>
    <t>Annoyed</t>
  </si>
  <si>
    <t>Cover</t>
  </si>
  <si>
    <t>Aggressive</t>
  </si>
  <si>
    <t>Land battle</t>
  </si>
  <si>
    <t>Greedy</t>
  </si>
  <si>
    <t>Lair (New)</t>
  </si>
  <si>
    <t>Numbers x2</t>
  </si>
  <si>
    <t>Score</t>
  </si>
  <si>
    <t>Adv</t>
  </si>
  <si>
    <t>Enemy 2</t>
  </si>
  <si>
    <t>Enemy 1</t>
  </si>
  <si>
    <t>Party</t>
  </si>
  <si>
    <t>Terrain</t>
  </si>
  <si>
    <t>Highest Apparent Level</t>
  </si>
  <si>
    <t>Numbers</t>
  </si>
  <si>
    <t>Weak Damage</t>
  </si>
  <si>
    <t>Critical Damage</t>
  </si>
  <si>
    <t>Foot</t>
  </si>
  <si>
    <t>Hand</t>
  </si>
  <si>
    <t>Leg</t>
  </si>
  <si>
    <t>Arm</t>
  </si>
  <si>
    <t>Body</t>
  </si>
  <si>
    <t>Head</t>
  </si>
  <si>
    <t>Location</t>
  </si>
  <si>
    <t>Instant Death</t>
  </si>
  <si>
    <t>Starting Dying</t>
  </si>
  <si>
    <t>Sane</t>
  </si>
  <si>
    <t>Weeping</t>
  </si>
  <si>
    <t>Delirous</t>
  </si>
  <si>
    <t>Furious</t>
  </si>
  <si>
    <t>Writhing</t>
  </si>
  <si>
    <t>Stunned</t>
  </si>
  <si>
    <t>State</t>
  </si>
  <si>
    <t>D6</t>
  </si>
  <si>
    <t>Death Check DC</t>
  </si>
  <si>
    <t>Roll DC</t>
  </si>
  <si>
    <t>Nicer</t>
  </si>
  <si>
    <t>Survival Prob</t>
  </si>
  <si>
    <t>Semi-conscious</t>
  </si>
  <si>
    <t>Heal Check</t>
  </si>
  <si>
    <t>Conscious (Can use heal)</t>
  </si>
  <si>
    <t>Resist Damage</t>
  </si>
  <si>
    <t>Time Frame</t>
  </si>
  <si>
    <t>1 round</t>
  </si>
  <si>
    <t>2 rounds</t>
  </si>
  <si>
    <t>3 rounds</t>
  </si>
  <si>
    <t>4 rounds</t>
  </si>
  <si>
    <t>1 minute</t>
  </si>
  <si>
    <t>10 minutes</t>
  </si>
  <si>
    <t>1 hour</t>
  </si>
  <si>
    <t>6 hours</t>
  </si>
  <si>
    <t>ID Heal Check</t>
  </si>
  <si>
    <t>&lt;1</t>
  </si>
  <si>
    <t>&lt;2</t>
  </si>
  <si>
    <t>&lt;3</t>
  </si>
  <si>
    <t>&lt;4</t>
  </si>
  <si>
    <t>Threshold</t>
  </si>
  <si>
    <t>MAX(ancestryHP, level) + CON</t>
  </si>
  <si>
    <t>Death Check</t>
  </si>
  <si>
    <t>Wound</t>
  </si>
  <si>
    <t>Serious</t>
  </si>
  <si>
    <t>Severe</t>
  </si>
  <si>
    <t>Critical</t>
  </si>
  <si>
    <t>Medium</t>
  </si>
  <si>
    <t>Society</t>
  </si>
  <si>
    <t>Thievery</t>
  </si>
  <si>
    <t>Survival</t>
  </si>
  <si>
    <t>Medicine</t>
  </si>
  <si>
    <t>Acrobatics</t>
  </si>
  <si>
    <t>Athletics</t>
  </si>
  <si>
    <t>Intimidation</t>
  </si>
  <si>
    <t>Diplomacy</t>
  </si>
  <si>
    <t>Lore_1</t>
  </si>
  <si>
    <t>Lore_2</t>
  </si>
  <si>
    <t>Class</t>
  </si>
  <si>
    <t>Cleric</t>
  </si>
  <si>
    <t>Fighter</t>
  </si>
  <si>
    <t>Rogue</t>
  </si>
  <si>
    <t>Purchase</t>
  </si>
  <si>
    <t>Cost</t>
  </si>
  <si>
    <t>Priority</t>
  </si>
  <si>
    <t>Retraining: Combat Grab</t>
  </si>
  <si>
    <t>Retraining: Wheeling Grab</t>
  </si>
  <si>
    <t>Time Required</t>
  </si>
  <si>
    <t>1 Week</t>
  </si>
  <si>
    <t>NA</t>
  </si>
  <si>
    <t>Cheetah Elixir</t>
  </si>
  <si>
    <t>Dakvision Elixir</t>
  </si>
  <si>
    <t>+2 Potency Rune</t>
  </si>
  <si>
    <t>Notes</t>
  </si>
  <si>
    <t>If available</t>
  </si>
  <si>
    <t>Astral Property Rune</t>
  </si>
  <si>
    <t>Resilient Fundamental Rune</t>
  </si>
  <si>
    <t>Shadow Property Rune (Greater)</t>
  </si>
  <si>
    <t>Dakvision Elixir (Moderate)</t>
  </si>
  <si>
    <t>Cheetah Elixir (Greater)</t>
  </si>
  <si>
    <t>Heartstone</t>
  </si>
  <si>
    <t>Carried</t>
  </si>
  <si>
    <t>Current Share</t>
  </si>
  <si>
    <t>Boat Treasure</t>
  </si>
  <si>
    <t>Books</t>
  </si>
  <si>
    <t>Bonus</t>
  </si>
  <si>
    <t>Grab (claws)</t>
  </si>
  <si>
    <t>DC</t>
  </si>
  <si>
    <t>Damage</t>
  </si>
  <si>
    <t>Attack (claws)</t>
  </si>
  <si>
    <t>18 =7(2d6)+11(5+2+4)</t>
  </si>
  <si>
    <t>24 = 9(2d8) + 15(5+2+8)</t>
  </si>
  <si>
    <t>Attack (kick)</t>
  </si>
  <si>
    <t>With Astral</t>
  </si>
  <si>
    <t>21.5 =7(2d6)+11(5+2+4) + 3.5(1d6)</t>
  </si>
  <si>
    <t>27.5 = 9(2d8) + 15(5+2+8) + 3.5(1d6)</t>
  </si>
  <si>
    <t>Starting Gold</t>
  </si>
  <si>
    <t>Start</t>
  </si>
  <si>
    <t>Total from Sales</t>
  </si>
  <si>
    <t>Loot Share</t>
  </si>
  <si>
    <t>Party Size</t>
  </si>
  <si>
    <t>Total after Sales</t>
  </si>
  <si>
    <t>Per PC (4)</t>
  </si>
  <si>
    <t>Total</t>
  </si>
  <si>
    <t>Per PC (5)</t>
  </si>
  <si>
    <t>Desired Cost</t>
  </si>
  <si>
    <t>Remaining</t>
  </si>
  <si>
    <t>Item</t>
  </si>
  <si>
    <t>Value</t>
  </si>
  <si>
    <t>Quantity</t>
  </si>
  <si>
    <t>Total Value</t>
  </si>
  <si>
    <t>Item / Service</t>
  </si>
  <si>
    <t>Buy?</t>
  </si>
  <si>
    <t>Book</t>
  </si>
  <si>
    <t>Posh goods</t>
  </si>
  <si>
    <t>5 gp max each</t>
  </si>
  <si>
    <t>Gold Bar</t>
  </si>
  <si>
    <t>Arsenic</t>
  </si>
  <si>
    <t>Instant</t>
  </si>
  <si>
    <t>Gold Nugget</t>
  </si>
  <si>
    <t>Mithril Chunks</t>
  </si>
  <si>
    <t>1 claimed by Belvis</t>
  </si>
  <si>
    <t>TBC</t>
  </si>
  <si>
    <t>Silver Ingots</t>
  </si>
  <si>
    <t>Claimed by Nagol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</si>
</sst>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6573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quotePrefix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945006-7FF8-49AE-A384-EC45330AF33A}" name="Goods_to_Sell" displayName="Goods_to_Sell" ref="A8:E15" totalsRowShown="0">
  <autoFilter ref="A8:E15" xr:uid="{DB945006-7FF8-49AE-A384-EC45330AF33A}"/>
  <tableColumns count="5">
    <tableColumn id="1" xr3:uid="{FD4A1CF8-9C27-4EDD-8C6F-DCE57E5FC9B6}" name="Item"/>
    <tableColumn id="2" xr3:uid="{8EED26F4-D313-4E40-A305-5C82EA73D2E3}" name="Value"/>
    <tableColumn id="3" xr3:uid="{03FECED4-76CE-49E7-B2C3-5ADB722E6FB4}" name="Quantity"/>
    <tableColumn id="4" xr3:uid="{CE080ACC-BC26-458B-B99F-7F53B5B35193}" name="Total Value" dataDxfId="1">
      <calculatedColumnFormula>Goods_to_Sell[[#This Row],[Value]]*Goods_to_Sell[[#This Row],[Quantity]]</calculatedColumnFormula>
    </tableColumn>
    <tableColumn id="5" xr3:uid="{1661854E-F145-4B03-BF0F-5DF60A5DF331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800A37-1A50-492F-BD2F-ACE5426323F1}" name="item_services" displayName="item_services" ref="H8:K18" totalsRowShown="0">
  <autoFilter ref="H8:K18" xr:uid="{E5800A37-1A50-492F-BD2F-ACE5426323F1}"/>
  <tableColumns count="4">
    <tableColumn id="1" xr3:uid="{4009898A-AA0F-4AFC-9510-50860536AD06}" name="Item / Service"/>
    <tableColumn id="2" xr3:uid="{64A20CBD-912A-4BA7-8BF5-8BB675396CF1}" name="Cost"/>
    <tableColumn id="3" xr3:uid="{591C28BB-9423-49F5-A35D-35EFA74361BE}" name="Time Required"/>
    <tableColumn id="4" xr3:uid="{368950BE-CD40-40B9-8859-EB3BC346D423}" name="Buy?" dataDxfId="0">
      <calculatedColumnFormula>TRUE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9883-F631-4B16-B5A9-A73A16FFAB80}">
  <dimension ref="A1:J25"/>
  <sheetViews>
    <sheetView workbookViewId="0">
      <selection activeCell="E34" sqref="E34"/>
    </sheetView>
  </sheetViews>
  <sheetFormatPr defaultRowHeight="14.4" x14ac:dyDescent="0.3"/>
  <cols>
    <col min="1" max="1" width="7.88671875" bestFit="1" customWidth="1"/>
    <col min="2" max="2" width="14" bestFit="1" customWidth="1"/>
    <col min="3" max="3" width="20.44140625" bestFit="1" customWidth="1"/>
    <col min="4" max="4" width="10" bestFit="1" customWidth="1"/>
    <col min="5" max="5" width="5.6640625" bestFit="1" customWidth="1"/>
    <col min="6" max="6" width="7.88671875" bestFit="1" customWidth="1"/>
    <col min="7" max="7" width="5.6640625" bestFit="1" customWidth="1"/>
    <col min="8" max="8" width="9" bestFit="1" customWidth="1"/>
    <col min="9" max="9" width="8" bestFit="1" customWidth="1"/>
    <col min="10" max="10" width="8.109375" bestFit="1" customWidth="1"/>
  </cols>
  <sheetData>
    <row r="1" spans="1:7" x14ac:dyDescent="0.3">
      <c r="B1" t="s">
        <v>43</v>
      </c>
      <c r="C1" t="s">
        <v>42</v>
      </c>
      <c r="D1" t="s">
        <v>41</v>
      </c>
    </row>
    <row r="2" spans="1:7" x14ac:dyDescent="0.3">
      <c r="A2" t="s">
        <v>40</v>
      </c>
      <c r="B2">
        <v>4</v>
      </c>
      <c r="C2">
        <v>1</v>
      </c>
      <c r="D2">
        <v>0</v>
      </c>
    </row>
    <row r="3" spans="1:7" x14ac:dyDescent="0.3">
      <c r="A3" t="s">
        <v>39</v>
      </c>
      <c r="B3">
        <v>2</v>
      </c>
      <c r="C3">
        <v>1</v>
      </c>
      <c r="D3">
        <v>2</v>
      </c>
    </row>
    <row r="4" spans="1:7" x14ac:dyDescent="0.3">
      <c r="A4" t="s">
        <v>38</v>
      </c>
    </row>
    <row r="6" spans="1:7" x14ac:dyDescent="0.3">
      <c r="B6">
        <f>B2/B3</f>
        <v>2</v>
      </c>
    </row>
    <row r="10" spans="1:7" x14ac:dyDescent="0.3">
      <c r="B10" t="s">
        <v>40</v>
      </c>
      <c r="C10">
        <f>SUM(C12:C1048576)</f>
        <v>4</v>
      </c>
      <c r="D10" t="s">
        <v>39</v>
      </c>
      <c r="E10">
        <f>SUM(E12:E1048576)</f>
        <v>3</v>
      </c>
      <c r="F10" t="s">
        <v>38</v>
      </c>
      <c r="G10">
        <f>SUM(G12:G1048576)</f>
        <v>3</v>
      </c>
    </row>
    <row r="11" spans="1:7" x14ac:dyDescent="0.3">
      <c r="B11" t="s">
        <v>37</v>
      </c>
      <c r="C11" t="s">
        <v>36</v>
      </c>
      <c r="D11" t="s">
        <v>37</v>
      </c>
      <c r="E11" t="s">
        <v>36</v>
      </c>
      <c r="F11" t="s">
        <v>37</v>
      </c>
      <c r="G11" t="s">
        <v>36</v>
      </c>
    </row>
    <row r="12" spans="1:7" x14ac:dyDescent="0.3">
      <c r="B12" t="s">
        <v>35</v>
      </c>
      <c r="C12">
        <v>2</v>
      </c>
      <c r="D12" t="s">
        <v>34</v>
      </c>
      <c r="E12">
        <v>1</v>
      </c>
      <c r="F12" t="s">
        <v>33</v>
      </c>
      <c r="G12">
        <v>1</v>
      </c>
    </row>
    <row r="13" spans="1:7" x14ac:dyDescent="0.3">
      <c r="B13" t="s">
        <v>32</v>
      </c>
      <c r="C13">
        <v>1</v>
      </c>
      <c r="D13" t="s">
        <v>31</v>
      </c>
      <c r="E13">
        <v>1</v>
      </c>
      <c r="F13" t="s">
        <v>30</v>
      </c>
      <c r="G13">
        <v>1</v>
      </c>
    </row>
    <row r="14" spans="1:7" x14ac:dyDescent="0.3">
      <c r="D14" t="s">
        <v>29</v>
      </c>
      <c r="E14">
        <v>1</v>
      </c>
      <c r="F14" t="s">
        <v>28</v>
      </c>
      <c r="G14">
        <v>1</v>
      </c>
    </row>
    <row r="16" spans="1:7" x14ac:dyDescent="0.3">
      <c r="B16" t="s">
        <v>27</v>
      </c>
      <c r="C16">
        <v>1</v>
      </c>
    </row>
    <row r="17" spans="2:10" x14ac:dyDescent="0.3">
      <c r="B17" t="s">
        <v>26</v>
      </c>
    </row>
    <row r="18" spans="2:10" x14ac:dyDescent="0.3">
      <c r="B18" t="s">
        <v>25</v>
      </c>
    </row>
    <row r="19" spans="2:10" x14ac:dyDescent="0.3">
      <c r="B19" t="s">
        <v>24</v>
      </c>
    </row>
    <row r="20" spans="2:10" x14ac:dyDescent="0.3">
      <c r="B20" t="s">
        <v>23</v>
      </c>
    </row>
    <row r="21" spans="2:10" x14ac:dyDescent="0.3">
      <c r="B21" t="s">
        <v>22</v>
      </c>
      <c r="H21" s="2">
        <v>2816.67</v>
      </c>
      <c r="J21">
        <f>J22*12</f>
        <v>32448</v>
      </c>
    </row>
    <row r="22" spans="2:10" x14ac:dyDescent="0.3">
      <c r="B22" t="s">
        <v>21</v>
      </c>
      <c r="H22">
        <f>H21*12</f>
        <v>33800.04</v>
      </c>
      <c r="J22" s="2">
        <v>2704</v>
      </c>
    </row>
    <row r="24" spans="2:10" x14ac:dyDescent="0.3">
      <c r="H24">
        <v>30000</v>
      </c>
      <c r="I24">
        <v>25119.599999999999</v>
      </c>
    </row>
    <row r="25" spans="2:10" x14ac:dyDescent="0.3">
      <c r="H25">
        <f>H24/12</f>
        <v>2500</v>
      </c>
      <c r="I25">
        <f>I24/12</f>
        <v>2093.2999999999997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0A113-E00E-4E99-8D09-545C7B42E17C}">
  <dimension ref="A1:R27"/>
  <sheetViews>
    <sheetView workbookViewId="0">
      <selection activeCell="B38" sqref="B38"/>
    </sheetView>
  </sheetViews>
  <sheetFormatPr defaultRowHeight="14.4" x14ac:dyDescent="0.3"/>
  <cols>
    <col min="1" max="1" width="26.77734375" bestFit="1" customWidth="1"/>
    <col min="5" max="5" width="13.5546875" bestFit="1" customWidth="1"/>
    <col min="6" max="6" width="14.44140625" bestFit="1" customWidth="1"/>
    <col min="7" max="9" width="14.44140625" customWidth="1"/>
    <col min="10" max="10" width="10.44140625" bestFit="1" customWidth="1"/>
  </cols>
  <sheetData>
    <row r="1" spans="1:18" x14ac:dyDescent="0.3">
      <c r="A1" t="s">
        <v>54</v>
      </c>
      <c r="B1" t="s">
        <v>66</v>
      </c>
      <c r="C1" t="s">
        <v>65</v>
      </c>
      <c r="D1" t="s">
        <v>64</v>
      </c>
      <c r="E1" t="s">
        <v>53</v>
      </c>
      <c r="F1" t="s">
        <v>71</v>
      </c>
      <c r="G1" t="s">
        <v>63</v>
      </c>
      <c r="H1" t="s">
        <v>71</v>
      </c>
      <c r="I1" t="s">
        <v>80</v>
      </c>
      <c r="J1" t="s">
        <v>68</v>
      </c>
      <c r="K1" t="s">
        <v>69</v>
      </c>
      <c r="M1" t="s">
        <v>62</v>
      </c>
      <c r="N1" t="s">
        <v>61</v>
      </c>
    </row>
    <row r="2" spans="1:18" x14ac:dyDescent="0.3">
      <c r="A2">
        <v>1</v>
      </c>
      <c r="B2">
        <v>0.69</v>
      </c>
      <c r="C2">
        <v>0.69</v>
      </c>
      <c r="D2">
        <f>20-20*C2</f>
        <v>6.2000000000000011</v>
      </c>
      <c r="E2">
        <v>4</v>
      </c>
      <c r="F2" t="s">
        <v>75</v>
      </c>
      <c r="G2">
        <f>ROUNDDOWN(D2,0)+1</f>
        <v>7</v>
      </c>
      <c r="H2" t="s">
        <v>79</v>
      </c>
      <c r="I2">
        <v>25</v>
      </c>
      <c r="J2">
        <v>20</v>
      </c>
      <c r="K2">
        <v>15</v>
      </c>
      <c r="M2">
        <v>0</v>
      </c>
      <c r="N2" t="s">
        <v>67</v>
      </c>
    </row>
    <row r="3" spans="1:18" x14ac:dyDescent="0.3">
      <c r="A3">
        <v>2</v>
      </c>
      <c r="B3">
        <v>0.27</v>
      </c>
      <c r="C3">
        <v>0.4</v>
      </c>
      <c r="D3">
        <f>20-20*C3</f>
        <v>12</v>
      </c>
      <c r="E3">
        <v>6</v>
      </c>
      <c r="F3" t="s">
        <v>74</v>
      </c>
      <c r="G3">
        <f>ROUNDDOWN(D3,0)+1</f>
        <v>13</v>
      </c>
      <c r="H3" t="s">
        <v>78</v>
      </c>
      <c r="I3">
        <v>35</v>
      </c>
      <c r="J3">
        <v>30</v>
      </c>
      <c r="K3">
        <v>25</v>
      </c>
      <c r="M3">
        <v>1</v>
      </c>
      <c r="N3" t="s">
        <v>60</v>
      </c>
    </row>
    <row r="4" spans="1:18" x14ac:dyDescent="0.3">
      <c r="A4">
        <v>3</v>
      </c>
      <c r="B4">
        <v>0.11</v>
      </c>
      <c r="C4">
        <v>0.18</v>
      </c>
      <c r="D4">
        <f>20-20*C4</f>
        <v>16.399999999999999</v>
      </c>
      <c r="E4">
        <v>9</v>
      </c>
      <c r="F4" t="s">
        <v>73</v>
      </c>
      <c r="G4">
        <f>ROUNDDOWN(D4,0)+1</f>
        <v>17</v>
      </c>
      <c r="H4" t="s">
        <v>77</v>
      </c>
      <c r="I4">
        <v>45</v>
      </c>
      <c r="J4">
        <v>40</v>
      </c>
      <c r="K4">
        <v>35</v>
      </c>
      <c r="M4">
        <v>2</v>
      </c>
      <c r="N4" t="s">
        <v>57</v>
      </c>
    </row>
    <row r="5" spans="1:18" x14ac:dyDescent="0.3">
      <c r="A5">
        <v>4</v>
      </c>
      <c r="B5">
        <v>0</v>
      </c>
      <c r="C5">
        <v>0</v>
      </c>
      <c r="D5">
        <f>20-20*C5</f>
        <v>20</v>
      </c>
      <c r="E5">
        <v>14</v>
      </c>
      <c r="F5" t="s">
        <v>72</v>
      </c>
      <c r="G5">
        <f>ROUNDDOWN(D5,0)</f>
        <v>20</v>
      </c>
      <c r="H5" t="s">
        <v>76</v>
      </c>
      <c r="I5">
        <v>55</v>
      </c>
      <c r="J5">
        <v>50</v>
      </c>
      <c r="K5">
        <v>45</v>
      </c>
      <c r="M5">
        <v>3</v>
      </c>
      <c r="N5" t="s">
        <v>59</v>
      </c>
    </row>
    <row r="6" spans="1:18" x14ac:dyDescent="0.3">
      <c r="M6">
        <v>4</v>
      </c>
      <c r="N6" t="s">
        <v>58</v>
      </c>
    </row>
    <row r="7" spans="1:18" x14ac:dyDescent="0.3">
      <c r="M7">
        <v>5</v>
      </c>
      <c r="N7" t="s">
        <v>56</v>
      </c>
    </row>
    <row r="8" spans="1:18" x14ac:dyDescent="0.3">
      <c r="M8">
        <v>6</v>
      </c>
      <c r="N8" t="s">
        <v>55</v>
      </c>
    </row>
    <row r="9" spans="1:18" x14ac:dyDescent="0.3">
      <c r="A9" t="s">
        <v>86</v>
      </c>
      <c r="B9" t="s">
        <v>85</v>
      </c>
      <c r="C9" t="s">
        <v>54</v>
      </c>
    </row>
    <row r="10" spans="1:18" x14ac:dyDescent="0.3">
      <c r="A10" t="s">
        <v>92</v>
      </c>
      <c r="B10" s="3" t="s">
        <v>81</v>
      </c>
      <c r="C10">
        <v>1</v>
      </c>
    </row>
    <row r="11" spans="1:18" x14ac:dyDescent="0.3">
      <c r="A11" t="s">
        <v>89</v>
      </c>
      <c r="B11" t="s">
        <v>82</v>
      </c>
      <c r="C11">
        <v>2</v>
      </c>
    </row>
    <row r="12" spans="1:18" x14ac:dyDescent="0.3">
      <c r="A12" t="s">
        <v>90</v>
      </c>
      <c r="B12" t="s">
        <v>83</v>
      </c>
      <c r="C12">
        <v>3</v>
      </c>
      <c r="F12">
        <v>14</v>
      </c>
    </row>
    <row r="13" spans="1:18" x14ac:dyDescent="0.3">
      <c r="A13" t="s">
        <v>91</v>
      </c>
      <c r="B13" t="s">
        <v>84</v>
      </c>
      <c r="C13">
        <v>4</v>
      </c>
      <c r="F13">
        <v>13</v>
      </c>
    </row>
    <row r="14" spans="1:18" x14ac:dyDescent="0.3">
      <c r="F14">
        <v>12</v>
      </c>
      <c r="M14">
        <v>4</v>
      </c>
      <c r="N14">
        <f>11-M14</f>
        <v>7</v>
      </c>
      <c r="O14">
        <f>20-N14</f>
        <v>13</v>
      </c>
      <c r="P14">
        <f>O14*0.05</f>
        <v>0.65</v>
      </c>
      <c r="Q14">
        <f>PRODUCT($P$14:$P14)</f>
        <v>0.65</v>
      </c>
      <c r="R14">
        <f>Q14*20+1</f>
        <v>14</v>
      </c>
    </row>
    <row r="15" spans="1:18" x14ac:dyDescent="0.3">
      <c r="F15">
        <v>11</v>
      </c>
      <c r="M15">
        <v>3</v>
      </c>
      <c r="N15">
        <f>11-M15</f>
        <v>8</v>
      </c>
      <c r="O15">
        <f t="shared" ref="O15:O17" si="0">20-N15</f>
        <v>12</v>
      </c>
      <c r="P15">
        <f t="shared" ref="P15:P17" si="1">O15*0.05</f>
        <v>0.60000000000000009</v>
      </c>
      <c r="Q15">
        <f>PRODUCT($P$14:$P15)</f>
        <v>0.39000000000000007</v>
      </c>
      <c r="R15">
        <f t="shared" ref="R15:R17" si="2">Q15*20+1</f>
        <v>8.8000000000000007</v>
      </c>
    </row>
    <row r="16" spans="1:18" x14ac:dyDescent="0.3">
      <c r="A16" t="s">
        <v>52</v>
      </c>
      <c r="M16">
        <v>2</v>
      </c>
      <c r="N16">
        <f>11-M16</f>
        <v>9</v>
      </c>
      <c r="O16">
        <f t="shared" si="0"/>
        <v>11</v>
      </c>
      <c r="P16">
        <f t="shared" si="1"/>
        <v>0.55000000000000004</v>
      </c>
      <c r="Q16">
        <f>PRODUCT($P$14:$P16)</f>
        <v>0.21450000000000005</v>
      </c>
      <c r="R16">
        <f t="shared" si="2"/>
        <v>5.2900000000000009</v>
      </c>
    </row>
    <row r="17" spans="1:18" x14ac:dyDescent="0.3">
      <c r="A17" t="s">
        <v>51</v>
      </c>
      <c r="B17">
        <v>2</v>
      </c>
      <c r="C17">
        <v>1</v>
      </c>
      <c r="M17">
        <v>1</v>
      </c>
      <c r="N17">
        <f>11-M17</f>
        <v>10</v>
      </c>
      <c r="O17">
        <f t="shared" si="0"/>
        <v>10</v>
      </c>
      <c r="P17">
        <f t="shared" si="1"/>
        <v>0.5</v>
      </c>
      <c r="Q17">
        <f>PRODUCT($P$14:$P17)</f>
        <v>0.10725000000000003</v>
      </c>
      <c r="R17">
        <f t="shared" si="2"/>
        <v>3.1450000000000005</v>
      </c>
    </row>
    <row r="18" spans="1:18" x14ac:dyDescent="0.3">
      <c r="A18" t="s">
        <v>50</v>
      </c>
      <c r="B18">
        <v>1</v>
      </c>
      <c r="C18">
        <v>2</v>
      </c>
      <c r="E18" t="s">
        <v>88</v>
      </c>
      <c r="F18">
        <f ca="1">RANDBETWEEN(1,4)</f>
        <v>4</v>
      </c>
      <c r="G18">
        <f t="shared" ref="G18:J18" ca="1" si="3">RANDBETWEEN(1,4)</f>
        <v>4</v>
      </c>
      <c r="H18">
        <f t="shared" ca="1" si="3"/>
        <v>3</v>
      </c>
      <c r="I18">
        <f t="shared" ca="1" si="3"/>
        <v>2</v>
      </c>
      <c r="J18">
        <f t="shared" ca="1" si="3"/>
        <v>1</v>
      </c>
    </row>
    <row r="19" spans="1:18" x14ac:dyDescent="0.3">
      <c r="A19" t="s">
        <v>49</v>
      </c>
      <c r="B19">
        <v>0</v>
      </c>
      <c r="C19">
        <v>3</v>
      </c>
      <c r="E19" t="s">
        <v>87</v>
      </c>
      <c r="F19">
        <f t="shared" ref="F19:J19" ca="1" si="4">RANDBETWEEN(1,20)</f>
        <v>2</v>
      </c>
      <c r="G19">
        <f t="shared" ca="1" si="4"/>
        <v>10</v>
      </c>
      <c r="H19">
        <f t="shared" ca="1" si="4"/>
        <v>4</v>
      </c>
      <c r="I19">
        <f t="shared" ca="1" si="4"/>
        <v>7</v>
      </c>
      <c r="J19">
        <f t="shared" ca="1" si="4"/>
        <v>10</v>
      </c>
    </row>
    <row r="20" spans="1:18" x14ac:dyDescent="0.3">
      <c r="A20" t="s">
        <v>48</v>
      </c>
      <c r="B20">
        <v>1</v>
      </c>
      <c r="C20">
        <v>4</v>
      </c>
      <c r="E20" t="s">
        <v>52</v>
      </c>
      <c r="F20">
        <f t="shared" ref="F20:J21" ca="1" si="5">RANDBETWEEN(1,6)</f>
        <v>1</v>
      </c>
      <c r="G20">
        <f t="shared" ca="1" si="5"/>
        <v>3</v>
      </c>
      <c r="H20">
        <f t="shared" ca="1" si="5"/>
        <v>1</v>
      </c>
      <c r="I20">
        <f t="shared" ca="1" si="5"/>
        <v>5</v>
      </c>
      <c r="J20">
        <f t="shared" ca="1" si="5"/>
        <v>2</v>
      </c>
    </row>
    <row r="21" spans="1:18" x14ac:dyDescent="0.3">
      <c r="A21" t="s">
        <v>47</v>
      </c>
      <c r="B21">
        <v>-1</v>
      </c>
      <c r="C21">
        <v>5</v>
      </c>
      <c r="E21" t="s">
        <v>61</v>
      </c>
      <c r="F21">
        <f t="shared" ca="1" si="5"/>
        <v>6</v>
      </c>
      <c r="G21">
        <f t="shared" ca="1" si="5"/>
        <v>5</v>
      </c>
      <c r="H21">
        <f t="shared" ca="1" si="5"/>
        <v>2</v>
      </c>
      <c r="I21">
        <f t="shared" ca="1" si="5"/>
        <v>5</v>
      </c>
      <c r="J21">
        <f t="shared" ca="1" si="5"/>
        <v>2</v>
      </c>
    </row>
    <row r="22" spans="1:18" x14ac:dyDescent="0.3">
      <c r="A22" t="s">
        <v>46</v>
      </c>
      <c r="B22">
        <v>-1</v>
      </c>
      <c r="C22">
        <v>6</v>
      </c>
    </row>
    <row r="24" spans="1:18" x14ac:dyDescent="0.3">
      <c r="A24" t="s">
        <v>45</v>
      </c>
      <c r="B24">
        <v>1</v>
      </c>
    </row>
    <row r="26" spans="1:18" x14ac:dyDescent="0.3">
      <c r="A26" t="s">
        <v>44</v>
      </c>
      <c r="B26">
        <v>1</v>
      </c>
    </row>
    <row r="27" spans="1:18" x14ac:dyDescent="0.3">
      <c r="A27" t="s">
        <v>70</v>
      </c>
      <c r="B27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A59F-F097-4A2D-B134-58CB1563E26C}">
  <dimension ref="A1:Z28"/>
  <sheetViews>
    <sheetView workbookViewId="0">
      <selection activeCell="F11" sqref="F11"/>
    </sheetView>
  </sheetViews>
  <sheetFormatPr defaultRowHeight="14.4" x14ac:dyDescent="0.3"/>
  <cols>
    <col min="1" max="1" width="5.5546875" bestFit="1" customWidth="1"/>
    <col min="2" max="2" width="5.5546875" customWidth="1"/>
    <col min="3" max="3" width="5.109375" bestFit="1" customWidth="1"/>
    <col min="4" max="4" width="4" bestFit="1" customWidth="1"/>
    <col min="5" max="5" width="4.21875" bestFit="1" customWidth="1"/>
    <col min="6" max="6" width="4.88671875" bestFit="1" customWidth="1"/>
    <col min="7" max="7" width="3.6640625" bestFit="1" customWidth="1"/>
    <col min="8" max="8" width="4.109375" bestFit="1" customWidth="1"/>
    <col min="9" max="9" width="4.6640625" bestFit="1" customWidth="1"/>
    <col min="10" max="10" width="9.77734375" bestFit="1" customWidth="1"/>
    <col min="11" max="11" width="8.88671875" bestFit="1" customWidth="1"/>
    <col min="12" max="12" width="8.88671875" customWidth="1"/>
    <col min="13" max="14" width="8.88671875" bestFit="1" customWidth="1"/>
    <col min="15" max="15" width="9.21875" bestFit="1" customWidth="1"/>
    <col min="16" max="16" width="8.88671875" bestFit="1" customWidth="1"/>
    <col min="17" max="17" width="7" bestFit="1" customWidth="1"/>
  </cols>
  <sheetData>
    <row r="1" spans="1:26" x14ac:dyDescent="0.3">
      <c r="A1" t="s">
        <v>0</v>
      </c>
      <c r="B1" t="s">
        <v>103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20</v>
      </c>
      <c r="M1" t="s">
        <v>10</v>
      </c>
      <c r="N1" t="s">
        <v>12</v>
      </c>
      <c r="O1" t="s">
        <v>11</v>
      </c>
      <c r="P1" t="s">
        <v>13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3">
      <c r="A2" t="s">
        <v>16</v>
      </c>
      <c r="B2" t="s">
        <v>104</v>
      </c>
      <c r="C2">
        <v>1</v>
      </c>
      <c r="D2">
        <v>2</v>
      </c>
      <c r="E2">
        <v>2</v>
      </c>
      <c r="F2">
        <v>2</v>
      </c>
      <c r="G2">
        <v>1</v>
      </c>
      <c r="H2">
        <v>4</v>
      </c>
      <c r="I2">
        <v>0</v>
      </c>
      <c r="J2" t="s">
        <v>15</v>
      </c>
      <c r="K2" t="s">
        <v>15</v>
      </c>
      <c r="L2" t="s">
        <v>14</v>
      </c>
      <c r="M2" t="s">
        <v>14</v>
      </c>
      <c r="N2" t="s">
        <v>14</v>
      </c>
      <c r="O2" t="s">
        <v>14</v>
      </c>
      <c r="P2" t="s">
        <v>15</v>
      </c>
      <c r="Q2" t="s">
        <v>15</v>
      </c>
      <c r="R2" t="s">
        <v>15</v>
      </c>
      <c r="S2" t="s">
        <v>14</v>
      </c>
      <c r="T2" t="s">
        <v>14</v>
      </c>
      <c r="U2" t="s">
        <v>14</v>
      </c>
      <c r="V2" t="s">
        <v>14</v>
      </c>
      <c r="W2" t="s">
        <v>15</v>
      </c>
      <c r="X2" t="s">
        <v>14</v>
      </c>
      <c r="Y2" t="s">
        <v>15</v>
      </c>
      <c r="Z2" t="s">
        <v>15</v>
      </c>
    </row>
    <row r="3" spans="1:26" x14ac:dyDescent="0.3">
      <c r="A3" t="s">
        <v>17</v>
      </c>
      <c r="B3" t="s">
        <v>105</v>
      </c>
      <c r="C3">
        <v>1</v>
      </c>
      <c r="D3">
        <v>4</v>
      </c>
      <c r="E3">
        <v>2</v>
      </c>
      <c r="F3">
        <v>3</v>
      </c>
      <c r="G3">
        <v>0</v>
      </c>
      <c r="H3">
        <v>1</v>
      </c>
      <c r="I3">
        <v>0</v>
      </c>
      <c r="J3" t="s">
        <v>15</v>
      </c>
      <c r="K3" t="s">
        <v>14</v>
      </c>
      <c r="L3" t="s">
        <v>14</v>
      </c>
      <c r="M3" t="s">
        <v>14</v>
      </c>
      <c r="N3" t="s">
        <v>15</v>
      </c>
      <c r="O3" t="s">
        <v>14</v>
      </c>
      <c r="P3" t="s">
        <v>14</v>
      </c>
      <c r="Q3" t="s">
        <v>15</v>
      </c>
      <c r="R3" t="s">
        <v>14</v>
      </c>
      <c r="S3" t="s">
        <v>14</v>
      </c>
      <c r="T3" t="s">
        <v>14</v>
      </c>
      <c r="U3" t="s">
        <v>15</v>
      </c>
      <c r="V3" t="s">
        <v>14</v>
      </c>
      <c r="W3" t="s">
        <v>14</v>
      </c>
      <c r="X3" t="s">
        <v>15</v>
      </c>
      <c r="Y3" t="s">
        <v>15</v>
      </c>
      <c r="Z3" t="s">
        <v>14</v>
      </c>
    </row>
    <row r="4" spans="1:26" x14ac:dyDescent="0.3">
      <c r="A4" t="s">
        <v>18</v>
      </c>
      <c r="B4" t="s">
        <v>106</v>
      </c>
      <c r="C4">
        <v>1</v>
      </c>
      <c r="D4">
        <v>2</v>
      </c>
      <c r="E4">
        <v>4</v>
      </c>
      <c r="F4">
        <v>1</v>
      </c>
      <c r="G4">
        <v>1</v>
      </c>
      <c r="H4">
        <v>2</v>
      </c>
      <c r="I4">
        <v>2</v>
      </c>
      <c r="J4" t="s">
        <v>19</v>
      </c>
      <c r="K4" t="s">
        <v>19</v>
      </c>
      <c r="L4" t="s">
        <v>15</v>
      </c>
      <c r="M4" t="s">
        <v>15</v>
      </c>
      <c r="N4" t="s">
        <v>14</v>
      </c>
      <c r="O4" t="s">
        <v>15</v>
      </c>
      <c r="P4" t="s">
        <v>14</v>
      </c>
      <c r="Q4" t="s">
        <v>19</v>
      </c>
      <c r="R4" t="s">
        <v>19</v>
      </c>
      <c r="S4" t="s">
        <v>15</v>
      </c>
      <c r="T4" t="s">
        <v>15</v>
      </c>
      <c r="U4" t="s">
        <v>14</v>
      </c>
      <c r="V4" t="s">
        <v>15</v>
      </c>
      <c r="W4" t="s">
        <v>14</v>
      </c>
      <c r="X4" t="s">
        <v>14</v>
      </c>
      <c r="Y4" t="s">
        <v>15</v>
      </c>
      <c r="Z4" t="s">
        <v>14</v>
      </c>
    </row>
    <row r="12" spans="1:26" x14ac:dyDescent="0.3">
      <c r="C12" t="s">
        <v>8</v>
      </c>
      <c r="D12" t="str">
        <f>_xlfn.CONCAT("'",C12,"': row['",C12,"'],")</f>
        <v>'Perception': row['Perception'],</v>
      </c>
    </row>
    <row r="13" spans="1:26" x14ac:dyDescent="0.3">
      <c r="C13" t="s">
        <v>9</v>
      </c>
      <c r="D13" t="str">
        <f t="shared" ref="D13:D28" si="0">_xlfn.CONCAT("'",C13,"': row['",C13,"'],")</f>
        <v>'Stealth': row['Stealth'],</v>
      </c>
    </row>
    <row r="14" spans="1:26" x14ac:dyDescent="0.3">
      <c r="C14" t="s">
        <v>20</v>
      </c>
      <c r="D14" t="str">
        <f t="shared" si="0"/>
        <v>'Deception': row['Deception'],</v>
      </c>
    </row>
    <row r="15" spans="1:26" x14ac:dyDescent="0.3">
      <c r="C15" t="s">
        <v>10</v>
      </c>
      <c r="D15" t="str">
        <f t="shared" si="0"/>
        <v>'Arcana': row['Arcana'],</v>
      </c>
    </row>
    <row r="16" spans="1:26" x14ac:dyDescent="0.3">
      <c r="C16" t="s">
        <v>12</v>
      </c>
      <c r="D16" t="str">
        <f t="shared" si="0"/>
        <v>'Nature': row['Nature'],</v>
      </c>
    </row>
    <row r="17" spans="3:21" x14ac:dyDescent="0.3">
      <c r="C17" t="s">
        <v>11</v>
      </c>
      <c r="D17" t="str">
        <f t="shared" si="0"/>
        <v>'Occultism': row['Occultism'],</v>
      </c>
      <c r="U17" s="1"/>
    </row>
    <row r="18" spans="3:21" x14ac:dyDescent="0.3">
      <c r="C18" t="s">
        <v>13</v>
      </c>
      <c r="D18" t="str">
        <f t="shared" si="0"/>
        <v>'Religion': row['Religion'],</v>
      </c>
    </row>
    <row r="19" spans="3:21" x14ac:dyDescent="0.3">
      <c r="C19" t="s">
        <v>93</v>
      </c>
      <c r="D19" t="str">
        <f t="shared" si="0"/>
        <v>'Society': row['Society'],</v>
      </c>
    </row>
    <row r="20" spans="3:21" x14ac:dyDescent="0.3">
      <c r="C20" t="s">
        <v>94</v>
      </c>
      <c r="D20" t="str">
        <f t="shared" si="0"/>
        <v>'Thievery': row['Thievery'],</v>
      </c>
    </row>
    <row r="21" spans="3:21" x14ac:dyDescent="0.3">
      <c r="C21" t="s">
        <v>95</v>
      </c>
      <c r="D21" t="str">
        <f t="shared" si="0"/>
        <v>'Survival': row['Survival'],</v>
      </c>
    </row>
    <row r="22" spans="3:21" x14ac:dyDescent="0.3">
      <c r="C22" t="s">
        <v>96</v>
      </c>
      <c r="D22" t="str">
        <f t="shared" si="0"/>
        <v>'Medicine': row['Medicine'],</v>
      </c>
    </row>
    <row r="23" spans="3:21" x14ac:dyDescent="0.3">
      <c r="C23" t="s">
        <v>97</v>
      </c>
      <c r="D23" t="str">
        <f t="shared" si="0"/>
        <v>'Acrobatics': row['Acrobatics'],</v>
      </c>
    </row>
    <row r="24" spans="3:21" x14ac:dyDescent="0.3">
      <c r="C24" t="s">
        <v>98</v>
      </c>
      <c r="D24" t="str">
        <f t="shared" si="0"/>
        <v>'Athletics': row['Athletics'],</v>
      </c>
    </row>
    <row r="25" spans="3:21" x14ac:dyDescent="0.3">
      <c r="C25" t="s">
        <v>99</v>
      </c>
      <c r="D25" t="str">
        <f t="shared" si="0"/>
        <v>'Intimidation': row['Intimidation'],</v>
      </c>
    </row>
    <row r="26" spans="3:21" x14ac:dyDescent="0.3">
      <c r="C26" t="s">
        <v>100</v>
      </c>
      <c r="D26" t="str">
        <f t="shared" si="0"/>
        <v>'Diplomacy': row['Diplomacy'],</v>
      </c>
    </row>
    <row r="27" spans="3:21" x14ac:dyDescent="0.3">
      <c r="C27" t="s">
        <v>101</v>
      </c>
      <c r="D27" t="str">
        <f t="shared" si="0"/>
        <v>'Lore_1': row['Lore_1'],</v>
      </c>
    </row>
    <row r="28" spans="3:21" x14ac:dyDescent="0.3">
      <c r="C28" t="s">
        <v>102</v>
      </c>
      <c r="D28" t="str">
        <f t="shared" si="0"/>
        <v>'Lore_2': row['Lore_2'],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4124C-EE3E-4253-850B-62BC0EFDA621}">
  <dimension ref="A1:I21"/>
  <sheetViews>
    <sheetView workbookViewId="0">
      <selection activeCell="H7" sqref="H7"/>
    </sheetView>
  </sheetViews>
  <sheetFormatPr defaultRowHeight="14.4" x14ac:dyDescent="0.3"/>
  <cols>
    <col min="2" max="2" width="23.5546875" bestFit="1" customWidth="1"/>
    <col min="3" max="3" width="4.6640625" customWidth="1"/>
    <col min="8" max="8" width="12.88671875" bestFit="1" customWidth="1"/>
  </cols>
  <sheetData>
    <row r="1" spans="1:9" x14ac:dyDescent="0.3">
      <c r="A1" t="s">
        <v>109</v>
      </c>
      <c r="B1" t="s">
        <v>107</v>
      </c>
      <c r="C1" t="s">
        <v>108</v>
      </c>
      <c r="D1" t="s">
        <v>112</v>
      </c>
      <c r="E1" t="s">
        <v>118</v>
      </c>
      <c r="H1" t="s">
        <v>125</v>
      </c>
      <c r="I1">
        <v>200</v>
      </c>
    </row>
    <row r="2" spans="1:9" x14ac:dyDescent="0.3">
      <c r="A2">
        <v>1</v>
      </c>
      <c r="B2" t="s">
        <v>110</v>
      </c>
      <c r="C2">
        <v>2</v>
      </c>
      <c r="D2" t="s">
        <v>113</v>
      </c>
      <c r="H2" t="s">
        <v>126</v>
      </c>
      <c r="I2">
        <v>5.3</v>
      </c>
    </row>
    <row r="3" spans="1:9" x14ac:dyDescent="0.3">
      <c r="A3">
        <v>2</v>
      </c>
      <c r="B3" t="s">
        <v>111</v>
      </c>
      <c r="C3">
        <v>0.8</v>
      </c>
      <c r="D3" t="s">
        <v>113</v>
      </c>
      <c r="H3" t="s">
        <v>127</v>
      </c>
      <c r="I3">
        <f>(1430.5 / 4)-200</f>
        <v>157.625</v>
      </c>
    </row>
    <row r="4" spans="1:9" x14ac:dyDescent="0.3">
      <c r="A4">
        <v>3</v>
      </c>
      <c r="B4" t="s">
        <v>116</v>
      </c>
      <c r="C4">
        <v>11</v>
      </c>
      <c r="D4" t="s">
        <v>114</v>
      </c>
      <c r="H4" t="s">
        <v>128</v>
      </c>
      <c r="I4">
        <f>540/4</f>
        <v>135</v>
      </c>
    </row>
    <row r="5" spans="1:9" x14ac:dyDescent="0.3">
      <c r="A5">
        <v>4</v>
      </c>
      <c r="B5" t="s">
        <v>115</v>
      </c>
      <c r="C5">
        <v>3</v>
      </c>
      <c r="D5" t="s">
        <v>114</v>
      </c>
      <c r="H5" t="s">
        <v>129</v>
      </c>
      <c r="I5">
        <f>180/4</f>
        <v>45</v>
      </c>
    </row>
    <row r="6" spans="1:9" x14ac:dyDescent="0.3">
      <c r="A6">
        <v>5</v>
      </c>
      <c r="B6" s="3" t="s">
        <v>117</v>
      </c>
      <c r="C6">
        <v>935</v>
      </c>
      <c r="E6" t="s">
        <v>119</v>
      </c>
    </row>
    <row r="7" spans="1:9" x14ac:dyDescent="0.3">
      <c r="A7">
        <v>6</v>
      </c>
      <c r="B7" t="s">
        <v>120</v>
      </c>
      <c r="C7">
        <v>450</v>
      </c>
    </row>
    <row r="8" spans="1:9" x14ac:dyDescent="0.3">
      <c r="A8">
        <v>7</v>
      </c>
      <c r="B8" t="s">
        <v>121</v>
      </c>
      <c r="C8">
        <v>340</v>
      </c>
    </row>
    <row r="9" spans="1:9" x14ac:dyDescent="0.3">
      <c r="A9">
        <v>8</v>
      </c>
      <c r="B9" t="s">
        <v>122</v>
      </c>
      <c r="C9">
        <v>650</v>
      </c>
    </row>
    <row r="10" spans="1:9" x14ac:dyDescent="0.3">
      <c r="A10">
        <v>9</v>
      </c>
      <c r="B10" t="s">
        <v>123</v>
      </c>
      <c r="C10">
        <v>11</v>
      </c>
    </row>
    <row r="11" spans="1:9" x14ac:dyDescent="0.3">
      <c r="A11">
        <v>10</v>
      </c>
      <c r="B11" t="s">
        <v>124</v>
      </c>
      <c r="C11">
        <v>25</v>
      </c>
    </row>
    <row r="18" spans="1:5" x14ac:dyDescent="0.3">
      <c r="B18" t="s">
        <v>130</v>
      </c>
      <c r="C18" t="s">
        <v>132</v>
      </c>
      <c r="D18" t="s">
        <v>133</v>
      </c>
      <c r="E18" t="s">
        <v>138</v>
      </c>
    </row>
    <row r="19" spans="1:5" x14ac:dyDescent="0.3">
      <c r="A19" t="s">
        <v>134</v>
      </c>
      <c r="B19">
        <v>20</v>
      </c>
      <c r="D19" t="s">
        <v>135</v>
      </c>
      <c r="E19" t="s">
        <v>139</v>
      </c>
    </row>
    <row r="20" spans="1:5" x14ac:dyDescent="0.3">
      <c r="A20" t="s">
        <v>131</v>
      </c>
      <c r="B20">
        <v>22</v>
      </c>
      <c r="C20">
        <v>32</v>
      </c>
    </row>
    <row r="21" spans="1:5" x14ac:dyDescent="0.3">
      <c r="A21" t="s">
        <v>137</v>
      </c>
      <c r="B21">
        <v>20</v>
      </c>
      <c r="D21" t="s">
        <v>136</v>
      </c>
      <c r="E21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9FD7-06AC-4F6E-96C5-05EB0511350B}">
  <dimension ref="A1:P19"/>
  <sheetViews>
    <sheetView tabSelected="1" workbookViewId="0">
      <selection activeCell="F24" sqref="F24"/>
    </sheetView>
  </sheetViews>
  <sheetFormatPr defaultRowHeight="14.4" x14ac:dyDescent="0.3"/>
  <cols>
    <col min="1" max="1" width="13.77734375" bestFit="1" customWidth="1"/>
    <col min="2" max="2" width="7.88671875" bestFit="1" customWidth="1"/>
    <col min="3" max="3" width="10.33203125" bestFit="1" customWidth="1"/>
    <col min="4" max="4" width="12.33203125" bestFit="1" customWidth="1"/>
    <col min="5" max="5" width="16" bestFit="1" customWidth="1"/>
    <col min="8" max="8" width="27" bestFit="1" customWidth="1"/>
    <col min="9" max="9" width="9" bestFit="1" customWidth="1"/>
    <col min="10" max="10" width="15.33203125" bestFit="1" customWidth="1"/>
  </cols>
  <sheetData>
    <row r="1" spans="1:12" x14ac:dyDescent="0.3">
      <c r="A1" t="s">
        <v>141</v>
      </c>
      <c r="B1">
        <v>1430.5</v>
      </c>
      <c r="H1" t="s">
        <v>142</v>
      </c>
      <c r="I1">
        <v>5.3</v>
      </c>
    </row>
    <row r="2" spans="1:12" x14ac:dyDescent="0.3">
      <c r="A2" t="s">
        <v>143</v>
      </c>
      <c r="B2">
        <f>SUM(D:D)</f>
        <v>5420</v>
      </c>
      <c r="H2" t="s">
        <v>144</v>
      </c>
      <c r="I2">
        <f>IF(L2=4,B4,B5)</f>
        <v>1712.625</v>
      </c>
      <c r="K2" t="s">
        <v>145</v>
      </c>
      <c r="L2">
        <v>4</v>
      </c>
    </row>
    <row r="3" spans="1:12" x14ac:dyDescent="0.3">
      <c r="A3" t="s">
        <v>146</v>
      </c>
      <c r="B3">
        <f>B1+B2</f>
        <v>6850.5</v>
      </c>
      <c r="H3" t="s">
        <v>125</v>
      </c>
      <c r="I3">
        <v>-200</v>
      </c>
    </row>
    <row r="4" spans="1:12" x14ac:dyDescent="0.3">
      <c r="A4" t="s">
        <v>147</v>
      </c>
      <c r="B4">
        <f>B3/4</f>
        <v>1712.625</v>
      </c>
      <c r="H4" t="s">
        <v>148</v>
      </c>
      <c r="I4">
        <f>SUM(I1:I3)</f>
        <v>1517.925</v>
      </c>
    </row>
    <row r="5" spans="1:12" x14ac:dyDescent="0.3">
      <c r="A5" t="s">
        <v>149</v>
      </c>
      <c r="B5">
        <f>B3/5</f>
        <v>1370.1</v>
      </c>
      <c r="H5" t="s">
        <v>150</v>
      </c>
      <c r="I5">
        <f>SUMIF(item_services[Buy?], TRUE, item_services[Cost])</f>
        <v>1492.8</v>
      </c>
    </row>
    <row r="6" spans="1:12" x14ac:dyDescent="0.3">
      <c r="H6" t="s">
        <v>151</v>
      </c>
      <c r="I6">
        <f>I4-I5</f>
        <v>25.125</v>
      </c>
    </row>
    <row r="8" spans="1:12" x14ac:dyDescent="0.3">
      <c r="A8" t="s">
        <v>152</v>
      </c>
      <c r="B8" t="s">
        <v>153</v>
      </c>
      <c r="C8" t="s">
        <v>154</v>
      </c>
      <c r="D8" t="s">
        <v>155</v>
      </c>
      <c r="E8" t="s">
        <v>118</v>
      </c>
      <c r="H8" t="s">
        <v>156</v>
      </c>
      <c r="I8" t="s">
        <v>108</v>
      </c>
      <c r="J8" t="s">
        <v>112</v>
      </c>
      <c r="K8" t="s">
        <v>157</v>
      </c>
    </row>
    <row r="9" spans="1:12" x14ac:dyDescent="0.3">
      <c r="A9" t="s">
        <v>158</v>
      </c>
      <c r="B9">
        <v>20</v>
      </c>
      <c r="C9">
        <v>9</v>
      </c>
      <c r="D9">
        <f>Goods_to_Sell[[#This Row],[Value]]*Goods_to_Sell[[#This Row],[Quantity]]</f>
        <v>180</v>
      </c>
      <c r="H9" t="s">
        <v>110</v>
      </c>
      <c r="I9">
        <v>2</v>
      </c>
      <c r="J9" t="s">
        <v>113</v>
      </c>
      <c r="K9" t="b">
        <f>TRUE</f>
        <v>1</v>
      </c>
    </row>
    <row r="10" spans="1:12" x14ac:dyDescent="0.3">
      <c r="A10" t="s">
        <v>159</v>
      </c>
      <c r="B10">
        <v>540</v>
      </c>
      <c r="C10">
        <v>1</v>
      </c>
      <c r="D10">
        <f>Goods_to_Sell[[#This Row],[Value]]*Goods_to_Sell[[#This Row],[Quantity]]</f>
        <v>540</v>
      </c>
      <c r="E10" t="s">
        <v>160</v>
      </c>
      <c r="H10" t="s">
        <v>111</v>
      </c>
      <c r="I10">
        <v>0.8</v>
      </c>
      <c r="J10" t="s">
        <v>113</v>
      </c>
      <c r="K10" t="b">
        <f>TRUE</f>
        <v>1</v>
      </c>
    </row>
    <row r="11" spans="1:12" x14ac:dyDescent="0.3">
      <c r="A11" t="s">
        <v>161</v>
      </c>
      <c r="B11">
        <v>1000</v>
      </c>
      <c r="C11">
        <v>1</v>
      </c>
      <c r="D11">
        <f>Goods_to_Sell[[#This Row],[Value]]*Goods_to_Sell[[#This Row],[Quantity]]</f>
        <v>1000</v>
      </c>
      <c r="E11" t="s">
        <v>162</v>
      </c>
      <c r="H11" t="s">
        <v>116</v>
      </c>
      <c r="I11">
        <v>11</v>
      </c>
      <c r="J11" t="s">
        <v>163</v>
      </c>
      <c r="K11" t="b">
        <f>TRUE</f>
        <v>1</v>
      </c>
    </row>
    <row r="12" spans="1:12" x14ac:dyDescent="0.3">
      <c r="A12" t="s">
        <v>164</v>
      </c>
      <c r="B12">
        <v>50</v>
      </c>
      <c r="C12">
        <v>20</v>
      </c>
      <c r="D12">
        <f>Goods_to_Sell[[#This Row],[Value]]*Goods_to_Sell[[#This Row],[Quantity]]</f>
        <v>1000</v>
      </c>
      <c r="E12" t="s">
        <v>162</v>
      </c>
      <c r="H12" t="s">
        <v>115</v>
      </c>
      <c r="I12">
        <v>3</v>
      </c>
      <c r="J12" t="s">
        <v>163</v>
      </c>
      <c r="K12" t="b">
        <f>TRUE</f>
        <v>1</v>
      </c>
    </row>
    <row r="13" spans="1:12" x14ac:dyDescent="0.3">
      <c r="A13" t="s">
        <v>165</v>
      </c>
      <c r="B13">
        <v>500</v>
      </c>
      <c r="C13">
        <v>4</v>
      </c>
      <c r="D13">
        <f>Goods_to_Sell[[#This Row],[Value]]*Goods_to_Sell[[#This Row],[Quantity]]</f>
        <v>2000</v>
      </c>
      <c r="E13" t="s">
        <v>166</v>
      </c>
      <c r="H13" t="s">
        <v>120</v>
      </c>
      <c r="I13">
        <v>450</v>
      </c>
      <c r="J13" t="s">
        <v>167</v>
      </c>
      <c r="K13" t="b">
        <f>TRUE</f>
        <v>1</v>
      </c>
    </row>
    <row r="14" spans="1:12" x14ac:dyDescent="0.3">
      <c r="A14" t="s">
        <v>168</v>
      </c>
      <c r="B14">
        <v>100</v>
      </c>
      <c r="C14">
        <v>5</v>
      </c>
      <c r="D14">
        <f>Goods_to_Sell[[#This Row],[Value]]*Goods_to_Sell[[#This Row],[Quantity]]</f>
        <v>500</v>
      </c>
      <c r="H14" t="s">
        <v>121</v>
      </c>
      <c r="I14">
        <v>340</v>
      </c>
      <c r="J14" t="s">
        <v>167</v>
      </c>
      <c r="K14" t="b">
        <f>TRUE</f>
        <v>1</v>
      </c>
    </row>
    <row r="15" spans="1:12" x14ac:dyDescent="0.3">
      <c r="A15" t="s">
        <v>125</v>
      </c>
      <c r="B15">
        <v>200</v>
      </c>
      <c r="C15">
        <v>1</v>
      </c>
      <c r="D15">
        <f>Goods_to_Sell[[#This Row],[Value]]*Goods_to_Sell[[#This Row],[Quantity]]</f>
        <v>200</v>
      </c>
      <c r="E15" t="s">
        <v>169</v>
      </c>
      <c r="H15" t="s">
        <v>122</v>
      </c>
      <c r="I15">
        <v>650</v>
      </c>
      <c r="J15" t="s">
        <v>167</v>
      </c>
      <c r="K15" t="b">
        <f>TRUE</f>
        <v>1</v>
      </c>
    </row>
    <row r="16" spans="1:12" x14ac:dyDescent="0.3">
      <c r="H16" t="s">
        <v>123</v>
      </c>
      <c r="I16">
        <v>11</v>
      </c>
      <c r="J16" t="s">
        <v>163</v>
      </c>
      <c r="K16" t="b">
        <f>TRUE</f>
        <v>1</v>
      </c>
    </row>
    <row r="17" spans="8:16" x14ac:dyDescent="0.3">
      <c r="H17" t="s">
        <v>124</v>
      </c>
      <c r="I17">
        <v>25</v>
      </c>
      <c r="J17" t="s">
        <v>163</v>
      </c>
      <c r="K17" t="b">
        <f>TRUE</f>
        <v>1</v>
      </c>
    </row>
    <row r="18" spans="8:16" x14ac:dyDescent="0.3">
      <c r="H18" s="3" t="s">
        <v>117</v>
      </c>
      <c r="I18">
        <v>935</v>
      </c>
      <c r="J18" t="s">
        <v>167</v>
      </c>
      <c r="K18" t="b">
        <v>0</v>
      </c>
    </row>
    <row r="19" spans="8:16" x14ac:dyDescent="0.3">
      <c r="P19" s="3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 (2)</vt:lpstr>
      <vt:lpstr>Sheet2 (2)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Marquess</dc:creator>
  <cp:lastModifiedBy>Daniel Marquess</cp:lastModifiedBy>
  <dcterms:created xsi:type="dcterms:W3CDTF">2026-04-09T06:50:55Z</dcterms:created>
  <dcterms:modified xsi:type="dcterms:W3CDTF">2026-04-30T11:41:45Z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c6e2f9-cd4a-4626-b9d0-aefa0a473bda_Enabled">
    <vt:lpwstr>true</vt:lpwstr>
  </property>
  <property fmtid="{D5CDD505-2E9C-101B-9397-08002B2CF9AE}" pid="3" name="MSIP_Label_e1c6e2f9-cd4a-4626-b9d0-aefa0a473bda_SetDate">
    <vt:lpwstr>2026-04-09T07:10:12Z</vt:lpwstr>
  </property>
  <property fmtid="{D5CDD505-2E9C-101B-9397-08002B2CF9AE}" pid="4" name="MSIP_Label_e1c6e2f9-cd4a-4626-b9d0-aefa0a473bda_Method">
    <vt:lpwstr>Privileged</vt:lpwstr>
  </property>
  <property fmtid="{D5CDD505-2E9C-101B-9397-08002B2CF9AE}" pid="5" name="MSIP_Label_e1c6e2f9-cd4a-4626-b9d0-aefa0a473bda_Name">
    <vt:lpwstr>Public</vt:lpwstr>
  </property>
  <property fmtid="{D5CDD505-2E9C-101B-9397-08002B2CF9AE}" pid="6" name="MSIP_Label_e1c6e2f9-cd4a-4626-b9d0-aefa0a473bda_SiteId">
    <vt:lpwstr>f8a88287-eb48-4bcd-86a0-682837c626dd</vt:lpwstr>
  </property>
  <property fmtid="{D5CDD505-2E9C-101B-9397-08002B2CF9AE}" pid="7" name="MSIP_Label_e1c6e2f9-cd4a-4626-b9d0-aefa0a473bda_ActionId">
    <vt:lpwstr>e8672ff7-b38a-45ef-9fd5-8f45e436a4d4</vt:lpwstr>
  </property>
  <property fmtid="{D5CDD505-2E9C-101B-9397-08002B2CF9AE}" pid="8" name="MSIP_Label_e1c6e2f9-cd4a-4626-b9d0-aefa0a473bda_ContentBits">
    <vt:lpwstr>0</vt:lpwstr>
  </property>
  <property fmtid="{D5CDD505-2E9C-101B-9397-08002B2CF9AE}" pid="9" name="MSIP_Label_e1c6e2f9-cd4a-4626-b9d0-aefa0a473bda_Tag">
    <vt:lpwstr>10, 0, 1, 1</vt:lpwstr>
  </property>
</Properties>
</file>