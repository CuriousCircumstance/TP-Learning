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intru-my.sharepoint.com/personal/daniel_marquess_fintru_com/Documents/Documents/Talent Pool/Python/"/>
    </mc:Choice>
  </mc:AlternateContent>
  <xr:revisionPtr revIDLastSave="136" documentId="8_{594C07D0-44E4-43AA-94C1-B0DD1B82AB84}" xr6:coauthVersionLast="47" xr6:coauthVersionMax="47" xr10:uidLastSave="{C384C694-D023-4BC5-AE55-FF02FED2D6FA}"/>
  <bookViews>
    <workbookView xWindow="28680" yWindow="-120" windowWidth="29040" windowHeight="15720" activeTab="1" xr2:uid="{7D18F49D-3760-4239-9878-5DED59F96984}"/>
  </bookViews>
  <sheets>
    <sheet name="Sheet1 (2)" sheetId="3" r:id="rId1"/>
    <sheet name="Sheet2 (2)" sheetId="4" r:id="rId2"/>
    <sheet name="Sheet1" sheetId="1" r:id="rId3"/>
    <sheet name="Sheet2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9" i="4" l="1"/>
  <c r="G19" i="4"/>
  <c r="H19" i="4"/>
  <c r="I19" i="4"/>
  <c r="F20" i="4"/>
  <c r="G20" i="4"/>
  <c r="H20" i="4"/>
  <c r="I20" i="4"/>
  <c r="J19" i="4"/>
  <c r="J20" i="4"/>
  <c r="N15" i="4"/>
  <c r="N16" i="4"/>
  <c r="O16" i="4" s="1"/>
  <c r="P16" i="4" s="1"/>
  <c r="N17" i="4"/>
  <c r="N14" i="4"/>
  <c r="O14" i="4" s="1"/>
  <c r="O15" i="4"/>
  <c r="P15" i="4" s="1"/>
  <c r="O17" i="4"/>
  <c r="P17" i="4" s="1"/>
  <c r="D2" i="4"/>
  <c r="G2" i="4" s="1"/>
  <c r="D3" i="4"/>
  <c r="G3" i="4" s="1"/>
  <c r="D4" i="4"/>
  <c r="G4" i="4" s="1"/>
  <c r="D5" i="4"/>
  <c r="G5" i="4" s="1"/>
  <c r="B6" i="3"/>
  <c r="C10" i="3"/>
  <c r="E10" i="3"/>
  <c r="G10" i="3"/>
  <c r="J21" i="3"/>
  <c r="H22" i="3"/>
  <c r="H25" i="3"/>
  <c r="I25" i="3"/>
  <c r="P14" i="4" l="1"/>
  <c r="Q16" i="4" l="1"/>
  <c r="R16" i="4" s="1"/>
  <c r="Q17" i="4"/>
  <c r="R17" i="4" s="1"/>
  <c r="Q14" i="4"/>
  <c r="R14" i="4" s="1"/>
  <c r="Q15" i="4"/>
  <c r="R15" i="4" s="1"/>
</calcChain>
</file>

<file path=xl/sharedStrings.xml><?xml version="1.0" encoding="utf-8"?>
<sst xmlns="http://schemas.openxmlformats.org/spreadsheetml/2006/main" count="122" uniqueCount="88">
  <si>
    <t>PC</t>
  </si>
  <si>
    <t>Level</t>
  </si>
  <si>
    <t>STR</t>
  </si>
  <si>
    <t>DEX</t>
  </si>
  <si>
    <t>CON</t>
  </si>
  <si>
    <t>INT</t>
  </si>
  <si>
    <t>WIS</t>
  </si>
  <si>
    <t>CHA</t>
  </si>
  <si>
    <t>Perception</t>
  </si>
  <si>
    <t>Stealth</t>
  </si>
  <si>
    <t>Arcana</t>
  </si>
  <si>
    <t>Occultism</t>
  </si>
  <si>
    <t>Nature</t>
  </si>
  <si>
    <t>Religion</t>
  </si>
  <si>
    <t>Untrained</t>
  </si>
  <si>
    <t>Trained</t>
  </si>
  <si>
    <t>Phil</t>
  </si>
  <si>
    <t>Paddi</t>
  </si>
  <si>
    <t>John</t>
  </si>
  <si>
    <t>Expert</t>
  </si>
  <si>
    <t>Lore 1</t>
  </si>
  <si>
    <t>Lore 2</t>
  </si>
  <si>
    <t>Deception</t>
  </si>
  <si>
    <t>Leader Slain</t>
  </si>
  <si>
    <t>Sickened</t>
  </si>
  <si>
    <t>Fear</t>
  </si>
  <si>
    <t>First Kill</t>
  </si>
  <si>
    <t>First Blood</t>
  </si>
  <si>
    <t>Favourable Crit</t>
  </si>
  <si>
    <t>Leadership</t>
  </si>
  <si>
    <t>Trickery</t>
  </si>
  <si>
    <t>Annoyed</t>
  </si>
  <si>
    <t>Cover</t>
  </si>
  <si>
    <t>Aggressive</t>
  </si>
  <si>
    <t>Land battle</t>
  </si>
  <si>
    <t>Greedy</t>
  </si>
  <si>
    <t>Lair (New)</t>
  </si>
  <si>
    <t>Numbers x2</t>
  </si>
  <si>
    <t>Score</t>
  </si>
  <si>
    <t>Adv</t>
  </si>
  <si>
    <t>Enemy 2</t>
  </si>
  <si>
    <t>Enemy 1</t>
  </si>
  <si>
    <t>Party</t>
  </si>
  <si>
    <t>Terrain</t>
  </si>
  <si>
    <t>Highest Apparent Level</t>
  </si>
  <si>
    <t>Numbers</t>
  </si>
  <si>
    <t>Weak Damage</t>
  </si>
  <si>
    <t>Critical Damage</t>
  </si>
  <si>
    <t>Foot</t>
  </si>
  <si>
    <t>Hand</t>
  </si>
  <si>
    <t>Leg</t>
  </si>
  <si>
    <t>Arm</t>
  </si>
  <si>
    <t>Body</t>
  </si>
  <si>
    <t>Head</t>
  </si>
  <si>
    <t>Location</t>
  </si>
  <si>
    <t>Instant Death</t>
  </si>
  <si>
    <t>2+</t>
  </si>
  <si>
    <t>1.5 &lt; 2</t>
  </si>
  <si>
    <t>0.5 &lt; 1.5</t>
  </si>
  <si>
    <t>&lt;0.5</t>
  </si>
  <si>
    <t>Starting Dying</t>
  </si>
  <si>
    <t>HP Proportion</t>
  </si>
  <si>
    <t>Sane</t>
  </si>
  <si>
    <t>Weeping</t>
  </si>
  <si>
    <t>Delirous</t>
  </si>
  <si>
    <t>Furious</t>
  </si>
  <si>
    <t>Writhing</t>
  </si>
  <si>
    <t>Stunned</t>
  </si>
  <si>
    <t>State</t>
  </si>
  <si>
    <t>D6</t>
  </si>
  <si>
    <t>Death Check DC</t>
  </si>
  <si>
    <t>Roll DC</t>
  </si>
  <si>
    <t>Nicer</t>
  </si>
  <si>
    <t>Survival Prob</t>
  </si>
  <si>
    <t>Semi-conscious</t>
  </si>
  <si>
    <t>Heal Check</t>
  </si>
  <si>
    <t>Conscious (Can use heal)</t>
  </si>
  <si>
    <t>Resist Damage</t>
  </si>
  <si>
    <t>Time Frame</t>
  </si>
  <si>
    <t>1 round</t>
  </si>
  <si>
    <t>2 rounds</t>
  </si>
  <si>
    <t>3 rounds</t>
  </si>
  <si>
    <t>4 rounds</t>
  </si>
  <si>
    <t>1 minute</t>
  </si>
  <si>
    <t>10 minutes</t>
  </si>
  <si>
    <t>1 hour</t>
  </si>
  <si>
    <t>6 hours</t>
  </si>
  <si>
    <t>ID Heal 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</si>
</sst>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color rgb="FF65738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F69883-F631-4B16-B5A9-A73A16FFAB80}">
  <dimension ref="A1:J25"/>
  <sheetViews>
    <sheetView workbookViewId="0">
      <selection activeCell="F33" sqref="F33"/>
    </sheetView>
  </sheetViews>
  <sheetFormatPr defaultRowHeight="14.4" x14ac:dyDescent="0.3"/>
  <cols>
    <col min="2" max="2" width="10.5546875" bestFit="1" customWidth="1"/>
  </cols>
  <sheetData>
    <row r="1" spans="1:7" x14ac:dyDescent="0.3">
      <c r="B1" t="s">
        <v>45</v>
      </c>
      <c r="C1" t="s">
        <v>44</v>
      </c>
      <c r="D1" t="s">
        <v>43</v>
      </c>
    </row>
    <row r="2" spans="1:7" x14ac:dyDescent="0.3">
      <c r="A2" t="s">
        <v>42</v>
      </c>
      <c r="B2">
        <v>4</v>
      </c>
      <c r="C2">
        <v>1</v>
      </c>
      <c r="D2">
        <v>0</v>
      </c>
    </row>
    <row r="3" spans="1:7" x14ac:dyDescent="0.3">
      <c r="A3" t="s">
        <v>41</v>
      </c>
      <c r="B3">
        <v>2</v>
      </c>
      <c r="C3">
        <v>1</v>
      </c>
      <c r="D3">
        <v>2</v>
      </c>
    </row>
    <row r="4" spans="1:7" x14ac:dyDescent="0.3">
      <c r="A4" t="s">
        <v>40</v>
      </c>
    </row>
    <row r="6" spans="1:7" x14ac:dyDescent="0.3">
      <c r="B6">
        <f>B2/B3</f>
        <v>2</v>
      </c>
    </row>
    <row r="10" spans="1:7" x14ac:dyDescent="0.3">
      <c r="B10" t="s">
        <v>42</v>
      </c>
      <c r="C10">
        <f>SUM(C12:C1048576)</f>
        <v>4</v>
      </c>
      <c r="D10" t="s">
        <v>41</v>
      </c>
      <c r="E10">
        <f>SUM(E12:E1048576)</f>
        <v>3</v>
      </c>
      <c r="F10" t="s">
        <v>40</v>
      </c>
      <c r="G10">
        <f>SUM(G12:G1048576)</f>
        <v>3</v>
      </c>
    </row>
    <row r="11" spans="1:7" x14ac:dyDescent="0.3">
      <c r="B11" t="s">
        <v>39</v>
      </c>
      <c r="C11" t="s">
        <v>38</v>
      </c>
      <c r="D11" t="s">
        <v>39</v>
      </c>
      <c r="E11" t="s">
        <v>38</v>
      </c>
      <c r="F11" t="s">
        <v>39</v>
      </c>
      <c r="G11" t="s">
        <v>38</v>
      </c>
    </row>
    <row r="12" spans="1:7" x14ac:dyDescent="0.3">
      <c r="B12" t="s">
        <v>37</v>
      </c>
      <c r="C12">
        <v>2</v>
      </c>
      <c r="D12" t="s">
        <v>36</v>
      </c>
      <c r="E12">
        <v>1</v>
      </c>
      <c r="F12" t="s">
        <v>35</v>
      </c>
      <c r="G12">
        <v>1</v>
      </c>
    </row>
    <row r="13" spans="1:7" x14ac:dyDescent="0.3">
      <c r="B13" t="s">
        <v>34</v>
      </c>
      <c r="C13">
        <v>1</v>
      </c>
      <c r="D13" t="s">
        <v>33</v>
      </c>
      <c r="E13">
        <v>1</v>
      </c>
      <c r="F13" t="s">
        <v>32</v>
      </c>
      <c r="G13">
        <v>1</v>
      </c>
    </row>
    <row r="14" spans="1:7" x14ac:dyDescent="0.3">
      <c r="D14" t="s">
        <v>31</v>
      </c>
      <c r="E14">
        <v>1</v>
      </c>
      <c r="F14" t="s">
        <v>30</v>
      </c>
      <c r="G14">
        <v>1</v>
      </c>
    </row>
    <row r="16" spans="1:7" x14ac:dyDescent="0.3">
      <c r="B16" t="s">
        <v>29</v>
      </c>
      <c r="C16">
        <v>1</v>
      </c>
    </row>
    <row r="17" spans="2:10" x14ac:dyDescent="0.3">
      <c r="B17" t="s">
        <v>28</v>
      </c>
    </row>
    <row r="18" spans="2:10" x14ac:dyDescent="0.3">
      <c r="B18" t="s">
        <v>27</v>
      </c>
    </row>
    <row r="19" spans="2:10" x14ac:dyDescent="0.3">
      <c r="B19" t="s">
        <v>26</v>
      </c>
    </row>
    <row r="20" spans="2:10" x14ac:dyDescent="0.3">
      <c r="B20" t="s">
        <v>25</v>
      </c>
    </row>
    <row r="21" spans="2:10" x14ac:dyDescent="0.3">
      <c r="B21" t="s">
        <v>24</v>
      </c>
      <c r="H21" s="2">
        <v>2816.67</v>
      </c>
      <c r="J21">
        <f>J22*12</f>
        <v>32448</v>
      </c>
    </row>
    <row r="22" spans="2:10" x14ac:dyDescent="0.3">
      <c r="B22" t="s">
        <v>23</v>
      </c>
      <c r="H22">
        <f>H21*12</f>
        <v>33800.04</v>
      </c>
      <c r="J22" s="2">
        <v>2704</v>
      </c>
    </row>
    <row r="24" spans="2:10" x14ac:dyDescent="0.3">
      <c r="H24">
        <v>30000</v>
      </c>
      <c r="I24">
        <v>25119.599999999999</v>
      </c>
    </row>
    <row r="25" spans="2:10" x14ac:dyDescent="0.3">
      <c r="H25">
        <f>H24/12</f>
        <v>2500</v>
      </c>
      <c r="I25">
        <f>I24/12</f>
        <v>2093.2999999999997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0A113-E00E-4E99-8D09-545C7B42E17C}">
  <dimension ref="A1:R27"/>
  <sheetViews>
    <sheetView tabSelected="1" workbookViewId="0">
      <selection activeCell="H24" sqref="H24"/>
    </sheetView>
  </sheetViews>
  <sheetFormatPr defaultRowHeight="14.4" x14ac:dyDescent="0.3"/>
  <cols>
    <col min="1" max="1" width="13.88671875" bestFit="1" customWidth="1"/>
    <col min="5" max="5" width="13.5546875" bestFit="1" customWidth="1"/>
    <col min="6" max="6" width="14.44140625" bestFit="1" customWidth="1"/>
    <col min="7" max="9" width="14.44140625" customWidth="1"/>
    <col min="10" max="10" width="10.44140625" bestFit="1" customWidth="1"/>
  </cols>
  <sheetData>
    <row r="1" spans="1:18" x14ac:dyDescent="0.3">
      <c r="A1" t="s">
        <v>60</v>
      </c>
      <c r="B1" t="s">
        <v>73</v>
      </c>
      <c r="C1" t="s">
        <v>72</v>
      </c>
      <c r="D1" t="s">
        <v>71</v>
      </c>
      <c r="E1" t="s">
        <v>55</v>
      </c>
      <c r="F1" t="s">
        <v>78</v>
      </c>
      <c r="G1" t="s">
        <v>70</v>
      </c>
      <c r="H1" t="s">
        <v>78</v>
      </c>
      <c r="I1" t="s">
        <v>87</v>
      </c>
      <c r="J1" t="s">
        <v>75</v>
      </c>
      <c r="K1" t="s">
        <v>76</v>
      </c>
      <c r="L1" t="s">
        <v>69</v>
      </c>
      <c r="M1" t="s">
        <v>68</v>
      </c>
    </row>
    <row r="2" spans="1:18" x14ac:dyDescent="0.3">
      <c r="A2">
        <v>1</v>
      </c>
      <c r="B2">
        <v>0.69</v>
      </c>
      <c r="C2">
        <v>0.69</v>
      </c>
      <c r="D2">
        <f>20-20*C2</f>
        <v>6.2000000000000011</v>
      </c>
      <c r="E2">
        <v>4</v>
      </c>
      <c r="F2" t="s">
        <v>82</v>
      </c>
      <c r="G2">
        <f>ROUNDDOWN(D2,0)+1</f>
        <v>7</v>
      </c>
      <c r="H2" t="s">
        <v>86</v>
      </c>
      <c r="I2">
        <v>25</v>
      </c>
      <c r="J2">
        <v>20</v>
      </c>
      <c r="K2">
        <v>15</v>
      </c>
      <c r="L2">
        <v>0</v>
      </c>
      <c r="M2" t="s">
        <v>74</v>
      </c>
    </row>
    <row r="3" spans="1:18" x14ac:dyDescent="0.3">
      <c r="A3">
        <v>2</v>
      </c>
      <c r="B3">
        <v>0.27</v>
      </c>
      <c r="C3">
        <v>0.4</v>
      </c>
      <c r="D3">
        <f>20-20*C3</f>
        <v>12</v>
      </c>
      <c r="E3">
        <v>6</v>
      </c>
      <c r="F3" t="s">
        <v>81</v>
      </c>
      <c r="G3">
        <f>ROUNDDOWN(D3,0)+1</f>
        <v>13</v>
      </c>
      <c r="H3" t="s">
        <v>85</v>
      </c>
      <c r="I3">
        <v>35</v>
      </c>
      <c r="J3">
        <v>30</v>
      </c>
      <c r="K3">
        <v>25</v>
      </c>
      <c r="L3">
        <v>1</v>
      </c>
      <c r="M3" t="s">
        <v>67</v>
      </c>
    </row>
    <row r="4" spans="1:18" x14ac:dyDescent="0.3">
      <c r="A4">
        <v>3</v>
      </c>
      <c r="B4">
        <v>0.11</v>
      </c>
      <c r="C4">
        <v>0.18</v>
      </c>
      <c r="D4">
        <f>20-20*C4</f>
        <v>16.399999999999999</v>
      </c>
      <c r="E4">
        <v>9</v>
      </c>
      <c r="F4" t="s">
        <v>80</v>
      </c>
      <c r="G4">
        <f>ROUNDDOWN(D4,0)+1</f>
        <v>17</v>
      </c>
      <c r="H4" t="s">
        <v>84</v>
      </c>
      <c r="I4">
        <v>45</v>
      </c>
      <c r="J4">
        <v>40</v>
      </c>
      <c r="K4">
        <v>35</v>
      </c>
      <c r="L4">
        <v>2</v>
      </c>
      <c r="M4" t="s">
        <v>64</v>
      </c>
    </row>
    <row r="5" spans="1:18" x14ac:dyDescent="0.3">
      <c r="A5">
        <v>4</v>
      </c>
      <c r="B5">
        <v>0</v>
      </c>
      <c r="C5">
        <v>0</v>
      </c>
      <c r="D5">
        <f>20-20*C5</f>
        <v>20</v>
      </c>
      <c r="E5">
        <v>14</v>
      </c>
      <c r="F5" t="s">
        <v>79</v>
      </c>
      <c r="G5">
        <f>ROUNDDOWN(D5,0)</f>
        <v>20</v>
      </c>
      <c r="H5" t="s">
        <v>83</v>
      </c>
      <c r="I5">
        <v>55</v>
      </c>
      <c r="J5">
        <v>50</v>
      </c>
      <c r="K5">
        <v>45</v>
      </c>
      <c r="L5">
        <v>3</v>
      </c>
      <c r="M5" t="s">
        <v>66</v>
      </c>
    </row>
    <row r="6" spans="1:18" x14ac:dyDescent="0.3">
      <c r="L6">
        <v>4</v>
      </c>
      <c r="M6" t="s">
        <v>65</v>
      </c>
    </row>
    <row r="7" spans="1:18" x14ac:dyDescent="0.3">
      <c r="L7">
        <v>5</v>
      </c>
      <c r="M7" t="s">
        <v>63</v>
      </c>
    </row>
    <row r="8" spans="1:18" x14ac:dyDescent="0.3">
      <c r="L8">
        <v>6</v>
      </c>
      <c r="M8" t="s">
        <v>62</v>
      </c>
    </row>
    <row r="9" spans="1:18" x14ac:dyDescent="0.3">
      <c r="A9" t="s">
        <v>61</v>
      </c>
      <c r="B9" t="s">
        <v>60</v>
      </c>
    </row>
    <row r="10" spans="1:18" x14ac:dyDescent="0.3">
      <c r="A10" s="3" t="s">
        <v>59</v>
      </c>
      <c r="B10">
        <v>1</v>
      </c>
    </row>
    <row r="11" spans="1:18" x14ac:dyDescent="0.3">
      <c r="A11" t="s">
        <v>58</v>
      </c>
      <c r="B11">
        <v>2</v>
      </c>
    </row>
    <row r="12" spans="1:18" x14ac:dyDescent="0.3">
      <c r="A12" t="s">
        <v>57</v>
      </c>
      <c r="B12">
        <v>3</v>
      </c>
      <c r="F12">
        <v>14</v>
      </c>
    </row>
    <row r="13" spans="1:18" x14ac:dyDescent="0.3">
      <c r="A13" t="s">
        <v>56</v>
      </c>
      <c r="B13" t="s">
        <v>55</v>
      </c>
      <c r="F13">
        <v>13</v>
      </c>
    </row>
    <row r="14" spans="1:18" x14ac:dyDescent="0.3">
      <c r="F14">
        <v>12</v>
      </c>
      <c r="M14">
        <v>4</v>
      </c>
      <c r="N14">
        <f>11-M14</f>
        <v>7</v>
      </c>
      <c r="O14">
        <f>20-N14</f>
        <v>13</v>
      </c>
      <c r="P14">
        <f>O14*0.05</f>
        <v>0.65</v>
      </c>
      <c r="Q14">
        <f>PRODUCT($P$14:$P14)</f>
        <v>0.65</v>
      </c>
      <c r="R14">
        <f>Q14*20+1</f>
        <v>14</v>
      </c>
    </row>
    <row r="15" spans="1:18" x14ac:dyDescent="0.3">
      <c r="F15">
        <v>11</v>
      </c>
      <c r="M15">
        <v>3</v>
      </c>
      <c r="N15">
        <f>11-M15</f>
        <v>8</v>
      </c>
      <c r="O15">
        <f t="shared" ref="O15:O17" si="0">20-N15</f>
        <v>12</v>
      </c>
      <c r="P15">
        <f t="shared" ref="P15:P17" si="1">O15*0.05</f>
        <v>0.60000000000000009</v>
      </c>
      <c r="Q15">
        <f>PRODUCT($P$14:$P15)</f>
        <v>0.39000000000000007</v>
      </c>
      <c r="R15">
        <f t="shared" ref="R15:R17" si="2">Q15*20+1</f>
        <v>8.8000000000000007</v>
      </c>
    </row>
    <row r="16" spans="1:18" x14ac:dyDescent="0.3">
      <c r="A16" t="s">
        <v>54</v>
      </c>
      <c r="M16">
        <v>2</v>
      </c>
      <c r="N16">
        <f>11-M16</f>
        <v>9</v>
      </c>
      <c r="O16">
        <f t="shared" si="0"/>
        <v>11</v>
      </c>
      <c r="P16">
        <f t="shared" si="1"/>
        <v>0.55000000000000004</v>
      </c>
      <c r="Q16">
        <f>PRODUCT($P$14:$P16)</f>
        <v>0.21450000000000005</v>
      </c>
      <c r="R16">
        <f t="shared" si="2"/>
        <v>5.2900000000000009</v>
      </c>
    </row>
    <row r="17" spans="1:18" x14ac:dyDescent="0.3">
      <c r="A17" t="s">
        <v>53</v>
      </c>
      <c r="B17">
        <v>2</v>
      </c>
      <c r="M17">
        <v>1</v>
      </c>
      <c r="N17">
        <f>11-M17</f>
        <v>10</v>
      </c>
      <c r="O17">
        <f t="shared" si="0"/>
        <v>10</v>
      </c>
      <c r="P17">
        <f t="shared" si="1"/>
        <v>0.5</v>
      </c>
      <c r="Q17">
        <f>PRODUCT($P$14:$P17)</f>
        <v>0.10725000000000003</v>
      </c>
      <c r="R17">
        <f t="shared" si="2"/>
        <v>3.1450000000000005</v>
      </c>
    </row>
    <row r="18" spans="1:18" x14ac:dyDescent="0.3">
      <c r="A18" t="s">
        <v>52</v>
      </c>
      <c r="B18">
        <v>1</v>
      </c>
    </row>
    <row r="19" spans="1:18" x14ac:dyDescent="0.3">
      <c r="A19" t="s">
        <v>51</v>
      </c>
      <c r="B19">
        <v>0</v>
      </c>
      <c r="F19">
        <f t="shared" ref="F19:I19" ca="1" si="3">RANDBETWEEN(1,20)</f>
        <v>10</v>
      </c>
      <c r="G19">
        <f t="shared" ca="1" si="3"/>
        <v>12</v>
      </c>
      <c r="H19">
        <f t="shared" ca="1" si="3"/>
        <v>20</v>
      </c>
      <c r="I19">
        <f t="shared" ca="1" si="3"/>
        <v>18</v>
      </c>
      <c r="J19">
        <f ca="1">RANDBETWEEN(1,20)</f>
        <v>20</v>
      </c>
    </row>
    <row r="20" spans="1:18" x14ac:dyDescent="0.3">
      <c r="A20" t="s">
        <v>50</v>
      </c>
      <c r="B20">
        <v>1</v>
      </c>
      <c r="F20">
        <f t="shared" ref="F20:I20" ca="1" si="4">RANDBETWEEN(1,6)</f>
        <v>4</v>
      </c>
      <c r="G20">
        <f t="shared" ca="1" si="4"/>
        <v>3</v>
      </c>
      <c r="H20">
        <f t="shared" ca="1" si="4"/>
        <v>6</v>
      </c>
      <c r="I20">
        <f t="shared" ca="1" si="4"/>
        <v>1</v>
      </c>
      <c r="J20">
        <f ca="1">RANDBETWEEN(1,6)</f>
        <v>1</v>
      </c>
    </row>
    <row r="21" spans="1:18" x14ac:dyDescent="0.3">
      <c r="A21" t="s">
        <v>49</v>
      </c>
      <c r="B21">
        <v>-1</v>
      </c>
    </row>
    <row r="22" spans="1:18" x14ac:dyDescent="0.3">
      <c r="A22" t="s">
        <v>48</v>
      </c>
      <c r="B22">
        <v>-1</v>
      </c>
    </row>
    <row r="24" spans="1:18" x14ac:dyDescent="0.3">
      <c r="A24" t="s">
        <v>47</v>
      </c>
      <c r="B24">
        <v>1</v>
      </c>
    </row>
    <row r="26" spans="1:18" x14ac:dyDescent="0.3">
      <c r="A26" t="s">
        <v>46</v>
      </c>
      <c r="B26">
        <v>1</v>
      </c>
    </row>
    <row r="27" spans="1:18" x14ac:dyDescent="0.3">
      <c r="A27" t="s">
        <v>77</v>
      </c>
      <c r="B27">
        <v>-1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FA59F-F097-4A2D-B134-58CB1563E26C}">
  <dimension ref="A1:T17"/>
  <sheetViews>
    <sheetView workbookViewId="0">
      <selection activeCell="P13" sqref="P13"/>
    </sheetView>
  </sheetViews>
  <sheetFormatPr defaultRowHeight="14.4" x14ac:dyDescent="0.3"/>
  <cols>
    <col min="1" max="1" width="5.5546875" bestFit="1" customWidth="1"/>
    <col min="2" max="2" width="5.109375" bestFit="1" customWidth="1"/>
    <col min="3" max="3" width="4" bestFit="1" customWidth="1"/>
    <col min="4" max="4" width="4.21875" bestFit="1" customWidth="1"/>
    <col min="5" max="5" width="4.88671875" bestFit="1" customWidth="1"/>
    <col min="6" max="6" width="3.6640625" bestFit="1" customWidth="1"/>
    <col min="7" max="7" width="4.109375" bestFit="1" customWidth="1"/>
    <col min="8" max="8" width="4.6640625" bestFit="1" customWidth="1"/>
    <col min="9" max="9" width="9.77734375" bestFit="1" customWidth="1"/>
    <col min="10" max="10" width="8.88671875" bestFit="1" customWidth="1"/>
    <col min="11" max="11" width="8.88671875" customWidth="1"/>
    <col min="12" max="13" width="8.88671875" bestFit="1" customWidth="1"/>
    <col min="14" max="14" width="9.21875" bestFit="1" customWidth="1"/>
    <col min="15" max="15" width="8.88671875" bestFit="1" customWidth="1"/>
    <col min="16" max="16" width="7" bestFit="1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22</v>
      </c>
      <c r="L1" t="s">
        <v>10</v>
      </c>
      <c r="M1" t="s">
        <v>12</v>
      </c>
      <c r="N1" t="s">
        <v>11</v>
      </c>
      <c r="O1" t="s">
        <v>13</v>
      </c>
      <c r="P1" t="s">
        <v>20</v>
      </c>
      <c r="Q1" t="s">
        <v>21</v>
      </c>
    </row>
    <row r="2" spans="1:17" x14ac:dyDescent="0.3">
      <c r="A2" t="s">
        <v>16</v>
      </c>
      <c r="B2">
        <v>1</v>
      </c>
      <c r="C2">
        <v>2</v>
      </c>
      <c r="D2">
        <v>2</v>
      </c>
      <c r="E2">
        <v>2</v>
      </c>
      <c r="F2">
        <v>1</v>
      </c>
      <c r="G2">
        <v>4</v>
      </c>
      <c r="H2">
        <v>0</v>
      </c>
      <c r="I2" t="s">
        <v>15</v>
      </c>
      <c r="J2" t="s">
        <v>15</v>
      </c>
      <c r="K2" t="s">
        <v>14</v>
      </c>
      <c r="L2" t="s">
        <v>14</v>
      </c>
      <c r="M2" t="s">
        <v>14</v>
      </c>
      <c r="N2" t="s">
        <v>14</v>
      </c>
      <c r="O2" t="s">
        <v>15</v>
      </c>
      <c r="P2" t="s">
        <v>15</v>
      </c>
      <c r="Q2" t="s">
        <v>15</v>
      </c>
    </row>
    <row r="3" spans="1:17" x14ac:dyDescent="0.3">
      <c r="A3" t="s">
        <v>17</v>
      </c>
      <c r="B3">
        <v>1</v>
      </c>
      <c r="C3">
        <v>4</v>
      </c>
      <c r="D3">
        <v>2</v>
      </c>
      <c r="E3">
        <v>3</v>
      </c>
      <c r="F3">
        <v>0</v>
      </c>
      <c r="G3">
        <v>1</v>
      </c>
      <c r="H3">
        <v>0</v>
      </c>
      <c r="I3" t="s">
        <v>15</v>
      </c>
      <c r="J3" t="s">
        <v>14</v>
      </c>
      <c r="K3" t="s">
        <v>14</v>
      </c>
      <c r="L3" t="s">
        <v>14</v>
      </c>
      <c r="M3" t="s">
        <v>15</v>
      </c>
      <c r="N3" t="s">
        <v>14</v>
      </c>
      <c r="O3" t="s">
        <v>14</v>
      </c>
      <c r="P3" t="s">
        <v>15</v>
      </c>
      <c r="Q3" t="s">
        <v>14</v>
      </c>
    </row>
    <row r="4" spans="1:17" x14ac:dyDescent="0.3">
      <c r="A4" t="s">
        <v>18</v>
      </c>
      <c r="B4">
        <v>1</v>
      </c>
      <c r="C4">
        <v>2</v>
      </c>
      <c r="D4">
        <v>4</v>
      </c>
      <c r="E4">
        <v>1</v>
      </c>
      <c r="F4">
        <v>1</v>
      </c>
      <c r="G4">
        <v>2</v>
      </c>
      <c r="H4">
        <v>2</v>
      </c>
      <c r="I4" t="s">
        <v>19</v>
      </c>
      <c r="J4" t="s">
        <v>19</v>
      </c>
      <c r="K4" t="s">
        <v>15</v>
      </c>
      <c r="L4" t="s">
        <v>15</v>
      </c>
      <c r="M4" t="s">
        <v>14</v>
      </c>
      <c r="N4" t="s">
        <v>15</v>
      </c>
      <c r="O4" t="s">
        <v>14</v>
      </c>
      <c r="P4" t="s">
        <v>15</v>
      </c>
      <c r="Q4" t="s">
        <v>14</v>
      </c>
    </row>
    <row r="17" spans="20:20" x14ac:dyDescent="0.3">
      <c r="T17" s="1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4124C-EE3E-4253-850B-62BC0EFDA621}">
  <dimension ref="A1"/>
  <sheetViews>
    <sheetView workbookViewId="0">
      <selection activeCell="B7" sqref="B7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 (2)</vt:lpstr>
      <vt:lpstr>Sheet2 (2)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Marquess</dc:creator>
  <cp:lastModifiedBy>Daniel Marquess</cp:lastModifiedBy>
  <dcterms:created xsi:type="dcterms:W3CDTF">2026-04-09T06:50:55Z</dcterms:created>
  <dcterms:modified xsi:type="dcterms:W3CDTF">2026-04-09T14:55:38Z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1c6e2f9-cd4a-4626-b9d0-aefa0a473bda_Enabled">
    <vt:lpwstr>true</vt:lpwstr>
  </property>
  <property fmtid="{D5CDD505-2E9C-101B-9397-08002B2CF9AE}" pid="3" name="MSIP_Label_e1c6e2f9-cd4a-4626-b9d0-aefa0a473bda_SetDate">
    <vt:lpwstr>2026-04-09T07:10:12Z</vt:lpwstr>
  </property>
  <property fmtid="{D5CDD505-2E9C-101B-9397-08002B2CF9AE}" pid="4" name="MSIP_Label_e1c6e2f9-cd4a-4626-b9d0-aefa0a473bda_Method">
    <vt:lpwstr>Privileged</vt:lpwstr>
  </property>
  <property fmtid="{D5CDD505-2E9C-101B-9397-08002B2CF9AE}" pid="5" name="MSIP_Label_e1c6e2f9-cd4a-4626-b9d0-aefa0a473bda_Name">
    <vt:lpwstr>Public</vt:lpwstr>
  </property>
  <property fmtid="{D5CDD505-2E9C-101B-9397-08002B2CF9AE}" pid="6" name="MSIP_Label_e1c6e2f9-cd4a-4626-b9d0-aefa0a473bda_SiteId">
    <vt:lpwstr>f8a88287-eb48-4bcd-86a0-682837c626dd</vt:lpwstr>
  </property>
  <property fmtid="{D5CDD505-2E9C-101B-9397-08002B2CF9AE}" pid="7" name="MSIP_Label_e1c6e2f9-cd4a-4626-b9d0-aefa0a473bda_ActionId">
    <vt:lpwstr>e8672ff7-b38a-45ef-9fd5-8f45e436a4d4</vt:lpwstr>
  </property>
  <property fmtid="{D5CDD505-2E9C-101B-9397-08002B2CF9AE}" pid="8" name="MSIP_Label_e1c6e2f9-cd4a-4626-b9d0-aefa0a473bda_ContentBits">
    <vt:lpwstr>0</vt:lpwstr>
  </property>
  <property fmtid="{D5CDD505-2E9C-101B-9397-08002B2CF9AE}" pid="9" name="MSIP_Label_e1c6e2f9-cd4a-4626-b9d0-aefa0a473bda_Tag">
    <vt:lpwstr>10, 0, 1, 1</vt:lpwstr>
  </property>
</Properties>
</file>